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bdebqcca-my.sharepoint.com/personal/2249463_bdeb_qc_ca/Documents/Bureau/"/>
    </mc:Choice>
  </mc:AlternateContent>
  <xr:revisionPtr revIDLastSave="185" documentId="8_{B9E81222-45EE-4714-9108-A0C953C31BC1}" xr6:coauthVersionLast="47" xr6:coauthVersionMax="47" xr10:uidLastSave="{B3F84E2F-EC0C-4AA2-A062-11877D802925}"/>
  <bookViews>
    <workbookView xWindow="-120" yWindow="-120" windowWidth="29040" windowHeight="15840" tabRatio="258" xr2:uid="{6BF6013A-4C68-4CEF-BF49-8F7071437FDB}"/>
  </bookViews>
  <sheets>
    <sheet name="Exemp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1" l="1"/>
  <c r="L16" i="1"/>
  <c r="L15" i="1"/>
  <c r="L9" i="1"/>
  <c r="L8" i="1"/>
  <c r="L5" i="1"/>
  <c r="L12" i="1" s="1"/>
  <c r="L2" i="1"/>
  <c r="L3" i="1"/>
  <c r="L4" i="1"/>
  <c r="L11" i="1" s="1"/>
  <c r="M15" i="1" l="1"/>
  <c r="M17" i="1"/>
  <c r="M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Stéphane Lévesque</author>
  </authors>
  <commentList>
    <comment ref="B3" authorId="0" shapeId="0" xr:uid="{1436BC68-6862-4DA3-AE73-44AC3E642BA5}">
      <text>
        <r>
          <rPr>
            <sz val="9"/>
            <color indexed="81"/>
            <rFont val="Tahoma"/>
            <charset val="1"/>
          </rPr>
          <t>Utiliser:
Saga pour un ensemble de récits
Récit pour une fonction du point de vue de son usager
Tâche pour l'implantation d'une partie d'un récit, une correction de bug ou tout autre travail technique de nature non-fonctionnelle.
Respecter l'orthographe exact (majuscules et accents)</t>
        </r>
      </text>
    </comment>
    <comment ref="F3" authorId="0" shapeId="0" xr:uid="{55FB5F07-C4FD-43A5-B9B8-014378EB64E4}">
      <text>
        <r>
          <rPr>
            <sz val="9"/>
            <color indexed="81"/>
            <rFont val="Tahoma"/>
            <charset val="1"/>
          </rPr>
          <t>Indiquer X (majuscule) si l'item est conforme à la Définition de Terminé</t>
        </r>
      </text>
    </comment>
    <comment ref="G3" authorId="0" shapeId="0" xr:uid="{1F37F235-0DAD-4706-AAD6-EB528448AC98}">
      <text>
        <r>
          <rPr>
            <sz val="9"/>
            <color indexed="81"/>
            <rFont val="Tahoma"/>
            <charset val="1"/>
          </rPr>
          <t>Le nombre de jours entre le début et la fin du travail sur cet item (minimum 1)</t>
        </r>
      </text>
    </comment>
    <comment ref="H3" authorId="0" shapeId="0" xr:uid="{3D1EC365-15D5-4AD8-AE26-96600E8AB048}">
      <text>
        <r>
          <rPr>
            <sz val="9"/>
            <color indexed="81"/>
            <rFont val="Tahoma"/>
            <charset val="1"/>
          </rPr>
          <t>Nombre de jours depuis le début du travail sur cet item (minimum 1)</t>
        </r>
      </text>
    </comment>
  </commentList>
</comments>
</file>

<file path=xl/sharedStrings.xml><?xml version="1.0" encoding="utf-8"?>
<sst xmlns="http://schemas.openxmlformats.org/spreadsheetml/2006/main" count="71" uniqueCount="56">
  <si>
    <t>Item planifié</t>
  </si>
  <si>
    <t>Terminé</t>
  </si>
  <si>
    <t>Métriques de sprint</t>
  </si>
  <si>
    <t>WIP</t>
  </si>
  <si>
    <t>Période de cours</t>
  </si>
  <si>
    <t>Temps de cycle</t>
  </si>
  <si>
    <t>Âge</t>
  </si>
  <si>
    <t>Âge moyen des items</t>
  </si>
  <si>
    <t>S'authentifier avec son compte usager</t>
  </si>
  <si>
    <t>Récit</t>
  </si>
  <si>
    <t>X</t>
  </si>
  <si>
    <t>Tâche</t>
  </si>
  <si>
    <t>Saga</t>
  </si>
  <si>
    <t>Temps de cycle moyen (récits)</t>
  </si>
  <si>
    <t>Temps de cycle moyen (tâches)</t>
  </si>
  <si>
    <t>Récits terminés</t>
  </si>
  <si>
    <t>Nombre de récits planifiés</t>
  </si>
  <si>
    <t>Nombre de tâches planifiées</t>
  </si>
  <si>
    <t>Tâches terminées</t>
  </si>
  <si>
    <t>Débit récits (sur 14 jours)</t>
  </si>
  <si>
    <t>Débit tâches (sur 14 jours)</t>
  </si>
  <si>
    <t>Indice de contribution</t>
  </si>
  <si>
    <t>Type (Saga/Récit/Tâche)</t>
  </si>
  <si>
    <t>Livraison</t>
  </si>
  <si>
    <t>Suivi de projet</t>
  </si>
  <si>
    <t>Faits saillants du daily Scrum</t>
  </si>
  <si>
    <t>Revue</t>
  </si>
  <si>
    <t>Priorités pour le prochain sprint</t>
  </si>
  <si>
    <t>Changements aux objectifs / besoins</t>
  </si>
  <si>
    <t>Rétrospective</t>
  </si>
  <si>
    <t>Points forts</t>
  </si>
  <si>
    <t>Points à améliorer</t>
  </si>
  <si>
    <t>Mesure d'amélioration pour le prochain sprint</t>
  </si>
  <si>
    <t>Bilan de la mesure d'amélioration du sprint courant</t>
  </si>
  <si>
    <t>Objectif de sprint: Fondation, Concevoir et Construire le Cadre du Site Web</t>
  </si>
  <si>
    <t>Créer le Figma pour la conception UI</t>
  </si>
  <si>
    <t>Design le logo du site web</t>
  </si>
  <si>
    <t xml:space="preserve">  Design des pages </t>
  </si>
  <si>
    <t xml:space="preserve">     Page de connexion</t>
  </si>
  <si>
    <t xml:space="preserve">     Page d'inscription</t>
  </si>
  <si>
    <t xml:space="preserve">     Page de swipe</t>
  </si>
  <si>
    <t xml:space="preserve">    Page abonnement</t>
  </si>
  <si>
    <t xml:space="preserve">     Page d'acceuil </t>
  </si>
  <si>
    <t>Denis</t>
  </si>
  <si>
    <t>Houssem</t>
  </si>
  <si>
    <t>Diane</t>
  </si>
  <si>
    <t>Conception base de données</t>
  </si>
  <si>
    <t>Concevoir le modèle de la base de données</t>
  </si>
  <si>
    <t>Remplir la base de données</t>
  </si>
  <si>
    <t>Lier la base de données au site</t>
  </si>
  <si>
    <r>
      <rPr>
        <b/>
        <sz val="10"/>
        <color rgb="FF3F3F76"/>
        <rFont val="Aptos Narrow"/>
        <family val="2"/>
        <scheme val="minor"/>
      </rPr>
      <t>Progrès accomplis:</t>
    </r>
    <r>
      <rPr>
        <sz val="10"/>
        <color rgb="FF3F3F76"/>
        <rFont val="Aptos Narrow"/>
        <family val="2"/>
        <scheme val="minor"/>
      </rPr>
      <t xml:space="preserve"> Terminé la conception du modèle logique de la base de données                               </t>
    </r>
    <r>
      <rPr>
        <b/>
        <sz val="10"/>
        <color rgb="FF3F3F76"/>
        <rFont val="Aptos Narrow"/>
        <family val="2"/>
        <scheme val="minor"/>
      </rPr>
      <t>Objectifs pour la journée :</t>
    </r>
    <r>
      <rPr>
        <sz val="10"/>
        <color rgb="FF3F3F76"/>
        <rFont val="Aptos Narrow"/>
        <family val="2"/>
        <scheme val="minor"/>
      </rPr>
      <t xml:space="preserve"> Régler bug bdd &amp; commencer page connexion (Figma)                                                  </t>
    </r>
    <r>
      <rPr>
        <b/>
        <sz val="10"/>
        <color rgb="FF3F3F76"/>
        <rFont val="Aptos Narrow"/>
        <family val="2"/>
        <scheme val="minor"/>
      </rPr>
      <t xml:space="preserve">Obstacles rencontrés: </t>
    </r>
    <r>
      <rPr>
        <sz val="10"/>
        <color rgb="FF3F3F76"/>
        <rFont val="Aptos Narrow"/>
        <family val="2"/>
        <scheme val="minor"/>
      </rPr>
      <t xml:space="preserve">N/A            </t>
    </r>
    <r>
      <rPr>
        <b/>
        <sz val="10"/>
        <color rgb="FF3F3F76"/>
        <rFont val="Aptos Narrow"/>
        <family val="2"/>
        <scheme val="minor"/>
      </rPr>
      <t>Actions Suivantes:</t>
    </r>
    <r>
      <rPr>
        <sz val="10"/>
        <color rgb="FF3F3F76"/>
        <rFont val="Aptos Narrow"/>
        <family val="2"/>
        <scheme val="minor"/>
      </rPr>
      <t xml:space="preserve"> N/A</t>
    </r>
  </si>
  <si>
    <r>
      <rPr>
        <b/>
        <sz val="11"/>
        <color rgb="FF3F3F76"/>
        <rFont val="Aptos Narrow"/>
        <family val="2"/>
        <scheme val="minor"/>
      </rPr>
      <t xml:space="preserve">Progrès accomplis: </t>
    </r>
    <r>
      <rPr>
        <sz val="11"/>
        <color rgb="FF3F3F76"/>
        <rFont val="Aptos Narrow"/>
        <family val="2"/>
        <scheme val="minor"/>
      </rPr>
      <t xml:space="preserve">Terminé la conception du modèle logique de la base de données  </t>
    </r>
    <r>
      <rPr>
        <b/>
        <sz val="11"/>
        <color rgb="FF3F3F76"/>
        <rFont val="Aptos Narrow"/>
        <family val="2"/>
        <scheme val="minor"/>
      </rPr>
      <t xml:space="preserve">                 Objectifs pour la journée :</t>
    </r>
    <r>
      <rPr>
        <sz val="11"/>
        <color rgb="FF3F3F76"/>
        <rFont val="Aptos Narrow"/>
        <family val="2"/>
        <scheme val="minor"/>
      </rPr>
      <t xml:space="preserve">Finir la conception de la bdd.        </t>
    </r>
    <r>
      <rPr>
        <b/>
        <sz val="11"/>
        <color rgb="FF3F3F76"/>
        <rFont val="Aptos Narrow"/>
        <family val="2"/>
        <scheme val="minor"/>
      </rPr>
      <t xml:space="preserve">    Obstacles rencontrés:</t>
    </r>
    <r>
      <rPr>
        <sz val="11"/>
        <color rgb="FF3F3F76"/>
        <rFont val="Aptos Narrow"/>
        <family val="2"/>
        <scheme val="minor"/>
      </rPr>
      <t>N/A</t>
    </r>
    <r>
      <rPr>
        <b/>
        <sz val="11"/>
        <color rgb="FF3F3F76"/>
        <rFont val="Aptos Narrow"/>
        <family val="2"/>
        <scheme val="minor"/>
      </rPr>
      <t xml:space="preserve">      Actions Suivantes: aide de l'enseignant: </t>
    </r>
    <r>
      <rPr>
        <sz val="11"/>
        <color rgb="FF3F3F76"/>
        <rFont val="Aptos Narrow"/>
        <family val="2"/>
        <scheme val="minor"/>
      </rPr>
      <t>N/A</t>
    </r>
  </si>
  <si>
    <t>1 (29 Aout)</t>
  </si>
  <si>
    <t>2 (3 Sept)</t>
  </si>
  <si>
    <t>3 (5 sept)</t>
  </si>
  <si>
    <t>4 (10 sept, remise sprint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</si>
</sst>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b/>
      <sz val="11"/>
      <color rgb="FFFA7D00"/>
      <name val="Aptos Narrow"/>
      <family val="2"/>
      <scheme val="minor"/>
    </font>
    <font>
      <b/>
      <sz val="11"/>
      <color theme="1"/>
      <name val="Aptos Narrow"/>
      <family val="2"/>
      <scheme val="minor"/>
    </font>
    <font>
      <sz val="9"/>
      <color indexed="81"/>
      <name val="Tahoma"/>
      <charset val="1"/>
    </font>
    <font>
      <b/>
      <sz val="11"/>
      <color rgb="FF3F3F76"/>
      <name val="Aptos Narrow"/>
      <family val="2"/>
      <scheme val="minor"/>
    </font>
    <font>
      <sz val="10"/>
      <color rgb="FF3F3F76"/>
      <name val="Aptos Narrow"/>
      <family val="2"/>
      <scheme val="minor"/>
    </font>
    <font>
      <sz val="11"/>
      <color rgb="FF3F3F76"/>
      <name val="Aptos Narrow"/>
      <family val="2"/>
    </font>
    <font>
      <b/>
      <sz val="10"/>
      <color rgb="FF3F3F76"/>
      <name val="Aptos Narrow"/>
      <family val="2"/>
      <scheme val="minor"/>
    </font>
  </fonts>
  <fills count="4">
    <fill>
      <patternFill patternType="none"/>
    </fill>
    <fill>
      <patternFill patternType="gray125"/>
    </fill>
    <fill>
      <patternFill patternType="solid">
        <fgColor rgb="FFFFCC99"/>
      </patternFill>
    </fill>
    <fill>
      <patternFill patternType="solid">
        <fgColor rgb="FFF2F2F2"/>
      </patternFill>
    </fill>
  </fills>
  <borders count="5">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3" fillId="2" borderId="3" applyNumberFormat="0" applyAlignment="0" applyProtection="0"/>
    <xf numFmtId="0" fontId="4" fillId="3" borderId="3" applyNumberFormat="0" applyAlignment="0" applyProtection="0"/>
  </cellStyleXfs>
  <cellXfs count="20">
    <xf numFmtId="0" fontId="0" fillId="0" borderId="0" xfId="0"/>
    <xf numFmtId="0" fontId="3" fillId="2" borderId="3" xfId="3"/>
    <xf numFmtId="0" fontId="0" fillId="0" borderId="0" xfId="0" applyAlignment="1">
      <alignment horizontal="center"/>
    </xf>
    <xf numFmtId="0" fontId="3" fillId="2" borderId="3" xfId="3" applyAlignment="1">
      <alignment horizontal="center"/>
    </xf>
    <xf numFmtId="9" fontId="3" fillId="2" borderId="3" xfId="3" applyNumberFormat="1" applyAlignment="1">
      <alignment horizontal="center"/>
    </xf>
    <xf numFmtId="0" fontId="3" fillId="2" borderId="3" xfId="3" applyAlignment="1">
      <alignment horizontal="left"/>
    </xf>
    <xf numFmtId="0" fontId="4" fillId="3" borderId="3" xfId="4"/>
    <xf numFmtId="9" fontId="4" fillId="3" borderId="3" xfId="4" applyNumberFormat="1"/>
    <xf numFmtId="0" fontId="3" fillId="2" borderId="3" xfId="3" applyAlignment="1">
      <alignment wrapText="1"/>
    </xf>
    <xf numFmtId="0" fontId="3" fillId="2" borderId="4" xfId="3" applyBorder="1"/>
    <xf numFmtId="0" fontId="1" fillId="0" borderId="1" xfId="1"/>
    <xf numFmtId="0" fontId="2" fillId="0" borderId="2" xfId="2"/>
    <xf numFmtId="0" fontId="0" fillId="0" borderId="0" xfId="0" applyAlignment="1">
      <alignment vertical="top"/>
    </xf>
    <xf numFmtId="0" fontId="3" fillId="2" borderId="3" xfId="3" applyAlignment="1">
      <alignment vertical="top"/>
    </xf>
    <xf numFmtId="0" fontId="5" fillId="0" borderId="0" xfId="0" applyFont="1"/>
    <xf numFmtId="0" fontId="5" fillId="0" borderId="0" xfId="0" applyFont="1" applyAlignment="1">
      <alignment horizontal="center"/>
    </xf>
    <xf numFmtId="0" fontId="3" fillId="2" borderId="3" xfId="3" applyAlignment="1">
      <alignment horizontal="center" vertical="top"/>
    </xf>
    <xf numFmtId="0" fontId="9" fillId="2" borderId="3" xfId="3" applyFont="1" applyAlignment="1">
      <alignment vertical="top" wrapText="1"/>
    </xf>
    <xf numFmtId="0" fontId="8" fillId="2" borderId="3" xfId="3" applyFont="1" applyAlignment="1">
      <alignment vertical="top" wrapText="1"/>
    </xf>
    <xf numFmtId="0" fontId="7" fillId="2" borderId="3" xfId="3" applyFont="1" applyAlignment="1">
      <alignment vertical="top" wrapText="1"/>
    </xf>
  </cellXfs>
  <cellStyles count="5">
    <cellStyle name="Calcul" xfId="4" builtinId="22"/>
    <cellStyle name="Entrée" xfId="3" builtinId="20"/>
    <cellStyle name="Normal" xfId="0" builtinId="0"/>
    <cellStyle name="Titre 2" xfId="1" builtinId="17"/>
    <cellStyle name="Titre 3" xfId="2" builtinId="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7C8C-BB64-4187-92AA-6B5ED698724D}">
  <dimension ref="A1:O39"/>
  <sheetViews>
    <sheetView tabSelected="1" zoomScale="115" zoomScaleNormal="115" workbookViewId="0">
      <selection activeCell="G9" sqref="G9"/>
    </sheetView>
  </sheetViews>
  <sheetFormatPr baseColWidth="10" defaultColWidth="8.85546875" defaultRowHeight="15" x14ac:dyDescent="0.25"/>
  <cols>
    <col min="1" max="1" width="66.42578125" bestFit="1" customWidth="1"/>
    <col min="2" max="2" width="21.85546875" bestFit="1" customWidth="1"/>
    <col min="3" max="6" width="10.28515625" customWidth="1"/>
    <col min="7" max="7" width="15.7109375" style="2" customWidth="1"/>
    <col min="8" max="8" width="14.42578125" bestFit="1" customWidth="1"/>
    <col min="9" max="9" width="14.42578125" customWidth="1"/>
    <col min="11" max="11" width="47.5703125" bestFit="1" customWidth="1"/>
    <col min="12" max="12" width="30" customWidth="1"/>
    <col min="13" max="14" width="26.7109375" customWidth="1"/>
    <col min="15" max="15" width="29.28515625" customWidth="1"/>
  </cols>
  <sheetData>
    <row r="1" spans="1:13" ht="18" thickBot="1" x14ac:dyDescent="0.35">
      <c r="A1" t="s">
        <v>34</v>
      </c>
      <c r="B1" s="14" t="s">
        <v>8</v>
      </c>
      <c r="C1" s="14"/>
      <c r="D1" s="14"/>
      <c r="E1" s="14"/>
      <c r="F1" s="14"/>
      <c r="G1" s="14"/>
      <c r="H1" s="14"/>
      <c r="I1" s="14"/>
      <c r="K1" s="10" t="s">
        <v>2</v>
      </c>
    </row>
    <row r="2" spans="1:13" ht="15.75" thickTop="1" x14ac:dyDescent="0.25">
      <c r="K2" t="s">
        <v>13</v>
      </c>
      <c r="L2" s="6" t="e">
        <f>AVERAGEIFS(H:H,G:G, "X", B:B, "Récit")</f>
        <v>#DIV/0!</v>
      </c>
    </row>
    <row r="3" spans="1:13" x14ac:dyDescent="0.25">
      <c r="A3" s="2" t="s">
        <v>0</v>
      </c>
      <c r="B3" s="2" t="s">
        <v>22</v>
      </c>
      <c r="C3" s="2" t="s">
        <v>43</v>
      </c>
      <c r="D3" s="2" t="s">
        <v>44</v>
      </c>
      <c r="E3" s="2" t="s">
        <v>45</v>
      </c>
      <c r="F3" s="2" t="s">
        <v>1</v>
      </c>
      <c r="G3" s="2" t="s">
        <v>5</v>
      </c>
      <c r="H3" s="2" t="s">
        <v>6</v>
      </c>
      <c r="K3" t="s">
        <v>14</v>
      </c>
      <c r="L3" s="6" t="e">
        <f>AVERAGEIFS(H:H,G:G, "X", B:B, "Tâche")</f>
        <v>#DIV/0!</v>
      </c>
    </row>
    <row r="4" spans="1:13" x14ac:dyDescent="0.25">
      <c r="A4" t="s">
        <v>35</v>
      </c>
      <c r="B4" s="3" t="s">
        <v>12</v>
      </c>
      <c r="C4" s="4"/>
      <c r="D4" s="4"/>
      <c r="E4" s="4"/>
      <c r="F4" s="3"/>
      <c r="G4" s="5"/>
      <c r="H4" s="5"/>
      <c r="K4" t="s">
        <v>19</v>
      </c>
      <c r="L4" s="6">
        <f>COUNTIFS(G:G, "X", B:B, "Récit")</f>
        <v>0</v>
      </c>
    </row>
    <row r="5" spans="1:13" x14ac:dyDescent="0.25">
      <c r="A5" t="s">
        <v>37</v>
      </c>
      <c r="B5" s="3" t="s">
        <v>9</v>
      </c>
      <c r="C5" s="4"/>
      <c r="D5" s="4"/>
      <c r="E5" s="4"/>
      <c r="F5" s="3"/>
      <c r="G5" s="1"/>
      <c r="H5" s="1"/>
      <c r="K5" t="s">
        <v>20</v>
      </c>
      <c r="L5" s="6">
        <f>COUNTIFS(G:G, "X", B:B, "Tâche")</f>
        <v>0</v>
      </c>
    </row>
    <row r="6" spans="1:13" x14ac:dyDescent="0.25">
      <c r="A6" t="s">
        <v>42</v>
      </c>
      <c r="B6" s="3" t="s">
        <v>11</v>
      </c>
      <c r="C6" s="4"/>
      <c r="D6" s="4"/>
      <c r="E6" s="4"/>
      <c r="F6" s="3"/>
      <c r="G6" s="1"/>
      <c r="H6" s="1"/>
    </row>
    <row r="7" spans="1:13" ht="15.75" thickBot="1" x14ac:dyDescent="0.3">
      <c r="A7" t="s">
        <v>38</v>
      </c>
      <c r="B7" s="3" t="s">
        <v>11</v>
      </c>
      <c r="C7" s="4"/>
      <c r="D7" s="4"/>
      <c r="E7" s="4"/>
      <c r="F7" s="3"/>
      <c r="G7" s="1"/>
      <c r="H7" s="1"/>
      <c r="K7" s="11" t="s">
        <v>23</v>
      </c>
    </row>
    <row r="8" spans="1:13" x14ac:dyDescent="0.25">
      <c r="A8" t="s">
        <v>39</v>
      </c>
      <c r="B8" s="3" t="s">
        <v>11</v>
      </c>
      <c r="C8" s="4"/>
      <c r="D8" s="4"/>
      <c r="E8" s="4"/>
      <c r="F8" s="3"/>
      <c r="G8" s="1"/>
      <c r="H8" s="1"/>
      <c r="K8" t="s">
        <v>16</v>
      </c>
      <c r="L8" s="6">
        <f>COUNTIF(B:B,"Récit")</f>
        <v>2</v>
      </c>
    </row>
    <row r="9" spans="1:13" x14ac:dyDescent="0.25">
      <c r="A9" t="s">
        <v>40</v>
      </c>
      <c r="B9" s="3" t="s">
        <v>11</v>
      </c>
      <c r="C9" s="4"/>
      <c r="D9" s="4"/>
      <c r="E9" s="4"/>
      <c r="F9" s="3"/>
      <c r="G9" s="1"/>
      <c r="H9" s="1"/>
      <c r="K9" t="s">
        <v>17</v>
      </c>
      <c r="L9" s="6">
        <f>COUNTIF(B:B, "Tâche")</f>
        <v>9</v>
      </c>
    </row>
    <row r="10" spans="1:13" x14ac:dyDescent="0.25">
      <c r="A10" t="s">
        <v>41</v>
      </c>
      <c r="B10" s="3" t="s">
        <v>11</v>
      </c>
      <c r="C10" s="4"/>
      <c r="D10" s="4"/>
      <c r="E10" s="4"/>
      <c r="F10" s="3"/>
      <c r="G10" s="1"/>
      <c r="H10" s="1"/>
    </row>
    <row r="11" spans="1:13" x14ac:dyDescent="0.25">
      <c r="A11" t="s">
        <v>36</v>
      </c>
      <c r="B11" s="3" t="s">
        <v>11</v>
      </c>
      <c r="C11" s="4"/>
      <c r="D11" s="4"/>
      <c r="E11" s="4"/>
      <c r="F11" s="3"/>
      <c r="G11" s="1"/>
      <c r="H11" s="1"/>
      <c r="K11" t="s">
        <v>15</v>
      </c>
      <c r="L11" s="7">
        <f>L4/L8</f>
        <v>0</v>
      </c>
    </row>
    <row r="12" spans="1:13" x14ac:dyDescent="0.25">
      <c r="A12" t="s">
        <v>46</v>
      </c>
      <c r="B12" s="3" t="s">
        <v>9</v>
      </c>
      <c r="C12" s="4"/>
      <c r="D12" s="4"/>
      <c r="E12" s="4"/>
      <c r="F12" s="3"/>
      <c r="G12" s="1"/>
      <c r="H12" s="1"/>
      <c r="K12" t="s">
        <v>18</v>
      </c>
      <c r="L12" s="7">
        <f>L5/L9</f>
        <v>0</v>
      </c>
    </row>
    <row r="13" spans="1:13" x14ac:dyDescent="0.25">
      <c r="A13" t="s">
        <v>47</v>
      </c>
      <c r="B13" s="3" t="s">
        <v>11</v>
      </c>
      <c r="C13" s="4">
        <v>0.5</v>
      </c>
      <c r="D13" s="4">
        <v>0.5</v>
      </c>
      <c r="E13" s="4">
        <v>0</v>
      </c>
      <c r="F13" s="3" t="s">
        <v>10</v>
      </c>
      <c r="G13" s="1">
        <v>1</v>
      </c>
      <c r="H13" s="1">
        <v>1</v>
      </c>
    </row>
    <row r="14" spans="1:13" ht="15.75" thickBot="1" x14ac:dyDescent="0.3">
      <c r="A14" t="s">
        <v>48</v>
      </c>
      <c r="B14" s="3" t="s">
        <v>11</v>
      </c>
      <c r="C14" s="4"/>
      <c r="D14" s="4"/>
      <c r="E14" s="4"/>
      <c r="F14" s="3"/>
      <c r="G14" s="1"/>
      <c r="H14" s="1"/>
      <c r="K14" s="11" t="s">
        <v>21</v>
      </c>
    </row>
    <row r="15" spans="1:13" x14ac:dyDescent="0.25">
      <c r="A15" t="s">
        <v>49</v>
      </c>
      <c r="B15" s="3" t="s">
        <v>11</v>
      </c>
      <c r="C15" s="4"/>
      <c r="D15" s="4"/>
      <c r="E15" s="4"/>
      <c r="F15" s="3"/>
      <c r="G15" s="1"/>
      <c r="H15" s="1"/>
      <c r="K15" t="s">
        <v>43</v>
      </c>
      <c r="L15" s="6">
        <f>SUMIFS(C:C,G:G,"X")</f>
        <v>0</v>
      </c>
      <c r="M15" s="7" t="e">
        <f>L15/SUM($L$15:$L$18)</f>
        <v>#DIV/0!</v>
      </c>
    </row>
    <row r="16" spans="1:13" x14ac:dyDescent="0.25">
      <c r="K16" t="s">
        <v>44</v>
      </c>
      <c r="L16" s="6">
        <f>SUMIFS(D:D,G:G,"X")</f>
        <v>0</v>
      </c>
      <c r="M16" s="7" t="e">
        <f>L16/SUM($L$15:$L$18)</f>
        <v>#DIV/0!</v>
      </c>
    </row>
    <row r="17" spans="11:15" x14ac:dyDescent="0.25">
      <c r="K17" t="s">
        <v>45</v>
      </c>
      <c r="L17" s="6">
        <f>SUMIFS(E:E,G:G,"X")</f>
        <v>0</v>
      </c>
      <c r="M17" s="7" t="e">
        <f>L17/SUM($L$15:$L$18)</f>
        <v>#DIV/0!</v>
      </c>
    </row>
    <row r="20" spans="11:15" ht="18" thickBot="1" x14ac:dyDescent="0.35">
      <c r="K20" s="10" t="s">
        <v>24</v>
      </c>
    </row>
    <row r="21" spans="11:15" ht="15.75" thickTop="1" x14ac:dyDescent="0.25">
      <c r="L21" s="15" t="s">
        <v>4</v>
      </c>
      <c r="M21" s="15"/>
      <c r="N21" s="15"/>
      <c r="O21" s="15"/>
    </row>
    <row r="22" spans="11:15" ht="15.75" thickBot="1" x14ac:dyDescent="0.3">
      <c r="K22" s="11" t="s">
        <v>25</v>
      </c>
      <c r="L22" t="s">
        <v>52</v>
      </c>
      <c r="M22" t="s">
        <v>53</v>
      </c>
      <c r="N22" t="s">
        <v>54</v>
      </c>
      <c r="O22" t="s">
        <v>55</v>
      </c>
    </row>
    <row r="23" spans="11:15" ht="127.15" customHeight="1" x14ac:dyDescent="0.25">
      <c r="K23" s="12" t="s">
        <v>43</v>
      </c>
      <c r="L23" s="18" t="s">
        <v>50</v>
      </c>
      <c r="M23" s="8"/>
      <c r="N23" s="8"/>
      <c r="O23" s="8"/>
    </row>
    <row r="24" spans="11:15" ht="123.6" customHeight="1" x14ac:dyDescent="0.25">
      <c r="K24" s="12" t="s">
        <v>44</v>
      </c>
      <c r="L24" s="19" t="s">
        <v>51</v>
      </c>
      <c r="M24" s="8"/>
      <c r="N24" s="8"/>
      <c r="O24" s="8"/>
    </row>
    <row r="25" spans="11:15" ht="117.75" customHeight="1" x14ac:dyDescent="0.25">
      <c r="K25" s="12" t="s">
        <v>45</v>
      </c>
      <c r="L25" s="17"/>
      <c r="M25" s="8"/>
      <c r="N25" s="8"/>
      <c r="O25" s="8"/>
    </row>
    <row r="26" spans="11:15" ht="21.75" customHeight="1" x14ac:dyDescent="0.25">
      <c r="K26" t="s">
        <v>3</v>
      </c>
      <c r="L26" s="9"/>
      <c r="M26" s="9"/>
      <c r="N26" s="9"/>
      <c r="O26" s="9"/>
    </row>
    <row r="27" spans="11:15" x14ac:dyDescent="0.25">
      <c r="K27" t="s">
        <v>7</v>
      </c>
      <c r="L27" s="1"/>
      <c r="M27" s="1"/>
      <c r="N27" s="1"/>
      <c r="O27" s="1"/>
    </row>
    <row r="30" spans="11:15" ht="15.75" thickBot="1" x14ac:dyDescent="0.3">
      <c r="K30" s="11" t="s">
        <v>26</v>
      </c>
    </row>
    <row r="31" spans="11:15" ht="44.45" customHeight="1" x14ac:dyDescent="0.25">
      <c r="K31" s="12" t="s">
        <v>27</v>
      </c>
      <c r="L31" s="16"/>
      <c r="M31" s="16"/>
      <c r="N31" s="16"/>
      <c r="O31" s="16"/>
    </row>
    <row r="32" spans="11:15" ht="45" customHeight="1" x14ac:dyDescent="0.25">
      <c r="K32" s="12" t="s">
        <v>28</v>
      </c>
      <c r="L32" s="13"/>
      <c r="M32" s="13"/>
      <c r="N32" s="13"/>
      <c r="O32" s="13"/>
    </row>
    <row r="34" spans="11:15" ht="15.75" thickBot="1" x14ac:dyDescent="0.3">
      <c r="K34" s="11" t="s">
        <v>29</v>
      </c>
    </row>
    <row r="35" spans="11:15" ht="31.15" customHeight="1" x14ac:dyDescent="0.25">
      <c r="K35" s="12" t="s">
        <v>30</v>
      </c>
      <c r="L35" s="13"/>
      <c r="M35" s="13"/>
      <c r="N35" s="13"/>
      <c r="O35" s="13"/>
    </row>
    <row r="36" spans="11:15" ht="30.6" customHeight="1" x14ac:dyDescent="0.25">
      <c r="K36" s="12" t="s">
        <v>31</v>
      </c>
      <c r="L36" s="13"/>
      <c r="M36" s="13"/>
      <c r="N36" s="13"/>
      <c r="O36" s="13"/>
    </row>
    <row r="37" spans="11:15" ht="31.15" customHeight="1" x14ac:dyDescent="0.25">
      <c r="K37" s="12" t="s">
        <v>32</v>
      </c>
      <c r="L37" s="13"/>
      <c r="M37" s="13"/>
      <c r="N37" s="13"/>
      <c r="O37" s="13"/>
    </row>
    <row r="38" spans="11:15" x14ac:dyDescent="0.25">
      <c r="K38" s="12"/>
      <c r="L38" s="12"/>
      <c r="M38" s="12"/>
      <c r="N38" s="12"/>
      <c r="O38" s="12"/>
    </row>
    <row r="39" spans="11:15" ht="31.15" customHeight="1" x14ac:dyDescent="0.25">
      <c r="K39" s="12" t="s">
        <v>33</v>
      </c>
      <c r="L39" s="13"/>
      <c r="M39" s="13"/>
      <c r="N39" s="13"/>
      <c r="O39" s="13"/>
    </row>
  </sheetData>
  <mergeCells count="8">
    <mergeCell ref="L35:O35"/>
    <mergeCell ref="L36:O36"/>
    <mergeCell ref="L37:O37"/>
    <mergeCell ref="L39:O39"/>
    <mergeCell ref="B1:I1"/>
    <mergeCell ref="L21:O21"/>
    <mergeCell ref="L31:O31"/>
    <mergeCell ref="L32:O32"/>
  </mergeCells>
  <pageMargins left="0.7" right="0.7" top="0.75" bottom="0.75" header="0.3" footer="0.3"/>
  <pageSetup orientation="portrait"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Exemple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Stéphane Lévesque</dc:creator>
  <cp:lastModifiedBy>Jucan, Denis Florin</cp:lastModifiedBy>
  <dcterms:created xsi:type="dcterms:W3CDTF">2024-08-18T18:39:34Z</dcterms:created>
  <dcterms:modified xsi:type="dcterms:W3CDTF">2024-08-29T21:33:05Z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615819-ba40-4aaf-a034-39fd1d37cddf_Enabled">
    <vt:lpwstr>true</vt:lpwstr>
  </property>
  <property fmtid="{D5CDD505-2E9C-101B-9397-08002B2CF9AE}" pid="3" name="MSIP_Label_6b615819-ba40-4aaf-a034-39fd1d37cddf_SetDate">
    <vt:lpwstr>2024-08-29T15:48:39Z</vt:lpwstr>
  </property>
  <property fmtid="{D5CDD505-2E9C-101B-9397-08002B2CF9AE}" pid="4" name="MSIP_Label_6b615819-ba40-4aaf-a034-39fd1d37cddf_Method">
    <vt:lpwstr>Standard</vt:lpwstr>
  </property>
  <property fmtid="{D5CDD505-2E9C-101B-9397-08002B2CF9AE}" pid="5" name="MSIP_Label_6b615819-ba40-4aaf-a034-39fd1d37cddf_Name">
    <vt:lpwstr>defa4170-0d19-0005-0004-bc88714345d2</vt:lpwstr>
  </property>
  <property fmtid="{D5CDD505-2E9C-101B-9397-08002B2CF9AE}" pid="6" name="MSIP_Label_6b615819-ba40-4aaf-a034-39fd1d37cddf_SiteId">
    <vt:lpwstr>f9182dd7-4234-41fb-9e9c-dd20d493b548</vt:lpwstr>
  </property>
  <property fmtid="{D5CDD505-2E9C-101B-9397-08002B2CF9AE}" pid="7" name="MSIP_Label_6b615819-ba40-4aaf-a034-39fd1d37cddf_ActionId">
    <vt:lpwstr>68bc2f7e-66e1-4e38-98cf-43cd4917e3a6</vt:lpwstr>
  </property>
  <property fmtid="{D5CDD505-2E9C-101B-9397-08002B2CF9AE}" pid="8" name="MSIP_Label_6b615819-ba40-4aaf-a034-39fd1d37cddf_ContentBits">
    <vt:lpwstr>0</vt:lpwstr>
  </property>
</Properties>
</file>