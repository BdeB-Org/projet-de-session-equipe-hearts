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2249463\Desktop\"/>
    </mc:Choice>
  </mc:AlternateContent>
  <xr:revisionPtr revIDLastSave="0" documentId="8_{FC5C6279-4ABB-4F93-BA5F-5141BB86F89F}" xr6:coauthVersionLast="47" xr6:coauthVersionMax="47" xr10:uidLastSave="{00000000-0000-0000-0000-000000000000}"/>
  <bookViews>
    <workbookView xWindow="-120" yWindow="-120" windowWidth="29040" windowHeight="15840" tabRatio="219" firstSheet="4" activeTab="5" xr2:uid="{6BF6013A-4C68-4CEF-BF49-8F7071437FDB}"/>
  </bookViews>
  <sheets>
    <sheet name="Sprint_1" sheetId="1" r:id="rId1"/>
    <sheet name="Sprint_2" sheetId="4" r:id="rId2"/>
    <sheet name="Sprint_3" sheetId="5" r:id="rId3"/>
    <sheet name="Sprint_4" sheetId="6" r:id="rId4"/>
    <sheet name="Sprint_5" sheetId="7" r:id="rId5"/>
    <sheet name="Sprint_6"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8" l="1"/>
  <c r="L16" i="8"/>
  <c r="L15" i="8"/>
  <c r="M15" i="8" s="1"/>
  <c r="L9" i="8"/>
  <c r="L8" i="8"/>
  <c r="L5" i="8"/>
  <c r="L12" i="8" s="1"/>
  <c r="L4" i="8"/>
  <c r="L11" i="8" s="1"/>
  <c r="L3" i="8"/>
  <c r="L2" i="8"/>
  <c r="L17" i="7"/>
  <c r="L16" i="7"/>
  <c r="L15" i="7"/>
  <c r="M15" i="7" s="1"/>
  <c r="L9" i="7"/>
  <c r="L8" i="7"/>
  <c r="L5" i="7"/>
  <c r="L12" i="7" s="1"/>
  <c r="L4" i="7"/>
  <c r="L11" i="7" s="1"/>
  <c r="L3" i="7"/>
  <c r="L2" i="7"/>
  <c r="L15" i="6"/>
  <c r="L15" i="5"/>
  <c r="L17" i="6"/>
  <c r="L16" i="6"/>
  <c r="L9" i="6"/>
  <c r="L8" i="6"/>
  <c r="L5" i="6"/>
  <c r="L12" i="6" s="1"/>
  <c r="L4" i="6"/>
  <c r="L11" i="6" s="1"/>
  <c r="L3" i="6"/>
  <c r="L2" i="6"/>
  <c r="L16" i="5"/>
  <c r="L4" i="5"/>
  <c r="L5" i="5"/>
  <c r="L8" i="5"/>
  <c r="L9" i="5"/>
  <c r="L17" i="5"/>
  <c r="L3" i="5"/>
  <c r="L2" i="5"/>
  <c r="H15" i="4"/>
  <c r="G15" i="4"/>
  <c r="G10" i="4"/>
  <c r="H10" i="4"/>
  <c r="H5" i="4"/>
  <c r="H4" i="4" s="1"/>
  <c r="G5" i="4"/>
  <c r="L15" i="4"/>
  <c r="L2" i="1"/>
  <c r="L17" i="4"/>
  <c r="L16" i="4"/>
  <c r="L9" i="4"/>
  <c r="L8" i="4"/>
  <c r="L5" i="4"/>
  <c r="L12" i="4" s="1"/>
  <c r="L4" i="4"/>
  <c r="L11" i="4" s="1"/>
  <c r="L3" i="4"/>
  <c r="L17" i="1"/>
  <c r="L16" i="1"/>
  <c r="L15" i="1"/>
  <c r="L5" i="1"/>
  <c r="L3" i="1"/>
  <c r="L4" i="1"/>
  <c r="H12" i="1"/>
  <c r="G12" i="1"/>
  <c r="H5" i="1"/>
  <c r="H4" i="1"/>
  <c r="G4" i="1"/>
  <c r="G5" i="1"/>
  <c r="L9" i="1"/>
  <c r="L8" i="1"/>
  <c r="L11" i="1" s="1"/>
  <c r="M16" i="8" l="1"/>
  <c r="M17" i="8"/>
  <c r="M16" i="7"/>
  <c r="M17" i="7"/>
  <c r="M17" i="6"/>
  <c r="M15" i="6"/>
  <c r="M16" i="6"/>
  <c r="L12" i="5"/>
  <c r="L11" i="5"/>
  <c r="M17" i="5"/>
  <c r="M16" i="5"/>
  <c r="M15" i="5"/>
  <c r="L2" i="4"/>
  <c r="G4" i="4"/>
  <c r="M15" i="4"/>
  <c r="M16" i="4"/>
  <c r="M17" i="4"/>
  <c r="L12" i="1"/>
  <c r="M15" i="1" l="1"/>
  <c r="M17" i="1"/>
  <c r="M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1436BC68-6862-4DA3-AE73-44AC3E642BA5}">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55FB5F07-C4FD-43A5-B9B8-014378EB64E4}">
      <text>
        <r>
          <rPr>
            <sz val="9"/>
            <color indexed="81"/>
            <rFont val="Tahoma"/>
            <family val="2"/>
          </rPr>
          <t>Indiquer X (majuscule) si l'item est conforme à la Définition de Terminé</t>
        </r>
      </text>
    </comment>
    <comment ref="G3" authorId="0" shapeId="0" xr:uid="{1F37F235-0DAD-4706-AAD6-EB528448AC98}">
      <text>
        <r>
          <rPr>
            <sz val="9"/>
            <color indexed="81"/>
            <rFont val="Tahoma"/>
            <family val="2"/>
          </rPr>
          <t>Le nombre de jours entre le début et la fin du travail sur cet item (minimum 1)</t>
        </r>
      </text>
    </comment>
    <comment ref="H3" authorId="0" shapeId="0" xr:uid="{3D1EC365-15D5-4AD8-AE26-96600E8AB048}">
      <text>
        <r>
          <rPr>
            <sz val="9"/>
            <color indexed="81"/>
            <rFont val="Tahoma"/>
            <family val="2"/>
          </rPr>
          <t>Nombre de jours depuis le début du travail sur cet item (minimum 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669E8D39-9C63-4FB2-AB4B-FB66C295CBEA}">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B334966A-89BC-4B61-9261-EA62164DF49D}">
      <text>
        <r>
          <rPr>
            <sz val="9"/>
            <color indexed="81"/>
            <rFont val="Tahoma"/>
            <family val="2"/>
          </rPr>
          <t>Indiquer X (majuscule) si l'item est conforme à la Définition de Terminé</t>
        </r>
      </text>
    </comment>
    <comment ref="G3" authorId="0" shapeId="0" xr:uid="{B10BB6E7-0F6C-49FA-A74B-169DED6C76D2}">
      <text>
        <r>
          <rPr>
            <sz val="9"/>
            <color indexed="81"/>
            <rFont val="Tahoma"/>
            <family val="2"/>
          </rPr>
          <t>Le nombre de jours entre le début et la fin du travail sur cet item (minimum 1)</t>
        </r>
      </text>
    </comment>
    <comment ref="H3" authorId="0" shapeId="0" xr:uid="{23402520-D7FF-4686-B3F1-94171C5B4CDA}">
      <text>
        <r>
          <rPr>
            <sz val="9"/>
            <color indexed="81"/>
            <rFont val="Tahoma"/>
            <family val="2"/>
          </rPr>
          <t>Nombre de jours depuis le début du travail sur cet item (minimum 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AF26BBE3-BA5D-40C2-9743-E26C5B76DF05}">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57BB2CFA-5916-47C4-933E-0AB5B6067B93}">
      <text>
        <r>
          <rPr>
            <sz val="9"/>
            <color indexed="81"/>
            <rFont val="Tahoma"/>
            <family val="2"/>
          </rPr>
          <t>Indiquer X (majuscule) si l'item est conforme à la Définition de Terminé</t>
        </r>
      </text>
    </comment>
    <comment ref="G3" authorId="0" shapeId="0" xr:uid="{403091FF-CB00-4664-A35D-9504E7EF90E6}">
      <text>
        <r>
          <rPr>
            <sz val="9"/>
            <color indexed="81"/>
            <rFont val="Tahoma"/>
            <family val="2"/>
          </rPr>
          <t>Le nombre de jours entre le début et la fin du travail sur cet item (minimum 1)</t>
        </r>
      </text>
    </comment>
    <comment ref="H3" authorId="0" shapeId="0" xr:uid="{FAB7731A-5DF3-4611-A3E5-33B4D1F0D111}">
      <text>
        <r>
          <rPr>
            <sz val="9"/>
            <color indexed="81"/>
            <rFont val="Tahoma"/>
            <family val="2"/>
          </rPr>
          <t>Nombre de jours depuis le début du travail sur cet item (minimum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0F495AD3-50F2-43F2-96C5-AFA17E9D8601}">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D6553836-F41D-4AD3-8781-FE1DB76A3DB1}">
      <text>
        <r>
          <rPr>
            <sz val="9"/>
            <color indexed="81"/>
            <rFont val="Tahoma"/>
            <family val="2"/>
          </rPr>
          <t>Indiquer X (majuscule) si l'item est conforme à la Définition de Terminé</t>
        </r>
      </text>
    </comment>
    <comment ref="G3" authorId="0" shapeId="0" xr:uid="{64356DFE-0BFE-4C81-BD12-E763EE1BEC5B}">
      <text>
        <r>
          <rPr>
            <sz val="9"/>
            <color indexed="81"/>
            <rFont val="Tahoma"/>
            <family val="2"/>
          </rPr>
          <t>Le nombre de jours entre le début et la fin du travail sur cet item (minimum 1)</t>
        </r>
      </text>
    </comment>
    <comment ref="H3" authorId="0" shapeId="0" xr:uid="{DD2D49CF-5791-4DFE-93E2-14F7FDE23157}">
      <text>
        <r>
          <rPr>
            <sz val="9"/>
            <color indexed="81"/>
            <rFont val="Tahoma"/>
            <family val="2"/>
          </rPr>
          <t>Nombre de jours depuis le début du travail sur cet item (minimum 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9EF0CEB0-FB28-471B-A570-B87E2BCC325C}">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397E0166-432C-4DB9-AA1F-34777C4C53F3}">
      <text>
        <r>
          <rPr>
            <sz val="9"/>
            <color indexed="81"/>
            <rFont val="Tahoma"/>
            <family val="2"/>
          </rPr>
          <t>Indiquer X (majuscule) si l'item est conforme à la Définition de Terminé</t>
        </r>
      </text>
    </comment>
    <comment ref="G3" authorId="0" shapeId="0" xr:uid="{BCACB9A5-C9E2-4821-989A-65B1B9E42D12}">
      <text>
        <r>
          <rPr>
            <sz val="9"/>
            <color indexed="81"/>
            <rFont val="Tahoma"/>
            <family val="2"/>
          </rPr>
          <t>Le nombre de jours entre le début et la fin du travail sur cet item (minimum 1)</t>
        </r>
      </text>
    </comment>
    <comment ref="H3" authorId="0" shapeId="0" xr:uid="{2DF35819-6776-4D94-84BA-25297D3E3B50}">
      <text>
        <r>
          <rPr>
            <sz val="9"/>
            <color indexed="81"/>
            <rFont val="Tahoma"/>
            <family val="2"/>
          </rPr>
          <t>Nombre de jours depuis le début du travail sur cet item (minimum 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Stéphane Lévesque</author>
  </authors>
  <commentList>
    <comment ref="B3" authorId="0" shapeId="0" xr:uid="{F2436F12-29E6-4523-8F1E-A1074080E302}">
      <text>
        <r>
          <rPr>
            <sz val="9"/>
            <color indexed="81"/>
            <rFont val="Tahoma"/>
            <family val="2"/>
          </rPr>
          <t>Utiliser:
Saga pour un ensemble de récits
Récit pour une fonction du point de vue de son usager
Tâche pour l'implantation d'une partie d'un récit, une correction de bug ou tout autre travail technique de nature non-fonctionnelle.
Respecter l'orthographe exact (majuscules et accents)</t>
        </r>
      </text>
    </comment>
    <comment ref="F3" authorId="0" shapeId="0" xr:uid="{FCDE427B-FD6B-4D9C-A65E-D04A90CE7080}">
      <text>
        <r>
          <rPr>
            <sz val="9"/>
            <color indexed="81"/>
            <rFont val="Tahoma"/>
            <family val="2"/>
          </rPr>
          <t>Indiquer X (majuscule) si l'item est conforme à la Définition de Terminé</t>
        </r>
      </text>
    </comment>
    <comment ref="G3" authorId="0" shapeId="0" xr:uid="{0BEF6F46-FFE5-46A4-92A4-6F09A01AD2FB}">
      <text>
        <r>
          <rPr>
            <sz val="9"/>
            <color indexed="81"/>
            <rFont val="Tahoma"/>
            <family val="2"/>
          </rPr>
          <t>Le nombre de jours entre le début et la fin du travail sur cet item (minimum 1)</t>
        </r>
      </text>
    </comment>
    <comment ref="H3" authorId="0" shapeId="0" xr:uid="{61805F03-924E-4CF2-B8E8-F0282382DC10}">
      <text>
        <r>
          <rPr>
            <sz val="9"/>
            <color indexed="81"/>
            <rFont val="Tahoma"/>
            <family val="2"/>
          </rPr>
          <t>Nombre de jours depuis le début du travail sur cet item (minimum 1)</t>
        </r>
      </text>
    </comment>
  </commentList>
</comments>
</file>

<file path=xl/sharedStrings.xml><?xml version="1.0" encoding="utf-8"?>
<sst xmlns="http://schemas.openxmlformats.org/spreadsheetml/2006/main" count="608" uniqueCount="213">
  <si>
    <t>Objectif de sprint: Fondation, Concevoir et Construire le Cadre du Site Web</t>
  </si>
  <si>
    <t>S'authentifier avec son compte usager</t>
  </si>
  <si>
    <t>Métriques de sprint</t>
  </si>
  <si>
    <t>Temps de cycle moyen (récits)</t>
  </si>
  <si>
    <t>Item planifié</t>
  </si>
  <si>
    <t>Type (Saga/Récit/Tâche)</t>
  </si>
  <si>
    <t>Denis</t>
  </si>
  <si>
    <t>Houssem</t>
  </si>
  <si>
    <t>Rosselle</t>
  </si>
  <si>
    <t>Terminé</t>
  </si>
  <si>
    <t>Temps de cycle</t>
  </si>
  <si>
    <t>Âge</t>
  </si>
  <si>
    <t>Temps de cycle moyen (tâches)</t>
  </si>
  <si>
    <t>Créer le Figma pour la conception UI</t>
  </si>
  <si>
    <t>Saga</t>
  </si>
  <si>
    <t>X</t>
  </si>
  <si>
    <t>Débit récits (sur 14 jours)</t>
  </si>
  <si>
    <t xml:space="preserve">  Design des pages </t>
  </si>
  <si>
    <t>Récit</t>
  </si>
  <si>
    <t>Débit tâches (sur 14 jours)</t>
  </si>
  <si>
    <t xml:space="preserve">     Page d'acceuil </t>
  </si>
  <si>
    <t>Tâche</t>
  </si>
  <si>
    <t xml:space="preserve">     Page de connexion</t>
  </si>
  <si>
    <t>Livraison</t>
  </si>
  <si>
    <t xml:space="preserve">     Page d'inscription</t>
  </si>
  <si>
    <t>Nombre de récits planifiés</t>
  </si>
  <si>
    <t xml:space="preserve">     Page de swipe</t>
  </si>
  <si>
    <t>Nombre de tâches planifiées</t>
  </si>
  <si>
    <t xml:space="preserve">    Page abonnement</t>
  </si>
  <si>
    <t>Design le logo du site web</t>
  </si>
  <si>
    <t>Récits terminés</t>
  </si>
  <si>
    <t>Conception base de données</t>
  </si>
  <si>
    <t>Tâches terminées</t>
  </si>
  <si>
    <t>Concevoir le modèle de la base de données</t>
  </si>
  <si>
    <t>Remplir la base de données</t>
  </si>
  <si>
    <t>Indice de contribution</t>
  </si>
  <si>
    <t>Lier la base de données au site</t>
  </si>
  <si>
    <t xml:space="preserve">Creation du serveur du site web </t>
  </si>
  <si>
    <t>Suivi de projet</t>
  </si>
  <si>
    <t>Période de cours</t>
  </si>
  <si>
    <t>Faits saillants du daily Scrum</t>
  </si>
  <si>
    <t>1 (29 Aout)</t>
  </si>
  <si>
    <t>2 (3 Sept)</t>
  </si>
  <si>
    <t>3 (5 sept)</t>
  </si>
  <si>
    <t>4 (10 sept, remise sprint 1)</t>
  </si>
  <si>
    <r>
      <rPr>
        <b/>
        <sz val="10"/>
        <color rgb="FF3F3F76"/>
        <rFont val="Aptos Narrow"/>
        <family val="2"/>
        <scheme val="minor"/>
      </rPr>
      <t>Progrès accomplis:</t>
    </r>
    <r>
      <rPr>
        <sz val="10"/>
        <color rgb="FF3F3F76"/>
        <rFont val="Aptos Narrow"/>
        <family val="2"/>
        <scheme val="minor"/>
      </rPr>
      <t xml:space="preserve"> Terminé la conception du modèle logique de la base de données                               </t>
    </r>
    <r>
      <rPr>
        <b/>
        <sz val="10"/>
        <color rgb="FF3F3F76"/>
        <rFont val="Aptos Narrow"/>
        <family val="2"/>
        <scheme val="minor"/>
      </rPr>
      <t>Objectifs pour la journée:</t>
    </r>
    <r>
      <rPr>
        <sz val="10"/>
        <color rgb="FF3F3F76"/>
        <rFont val="Aptos Narrow"/>
        <family val="2"/>
        <scheme val="minor"/>
      </rPr>
      <t xml:space="preserve"> Régler bug bdd &amp; commencer page connexion (Figma)                                                  </t>
    </r>
    <r>
      <rPr>
        <b/>
        <sz val="10"/>
        <color rgb="FF3F3F76"/>
        <rFont val="Aptos Narrow"/>
        <family val="2"/>
        <scheme val="minor"/>
      </rPr>
      <t xml:space="preserve">Obstacles rencontrés: </t>
    </r>
    <r>
      <rPr>
        <sz val="10"/>
        <color rgb="FF3F3F76"/>
        <rFont val="Aptos Narrow"/>
        <family val="2"/>
        <scheme val="minor"/>
      </rPr>
      <t xml:space="preserve">N/A                        </t>
    </r>
    <r>
      <rPr>
        <b/>
        <sz val="10"/>
        <color rgb="FF3F3F76"/>
        <rFont val="Aptos Narrow"/>
        <family val="2"/>
        <scheme val="minor"/>
      </rPr>
      <t>Actions Suivantes:</t>
    </r>
    <r>
      <rPr>
        <sz val="10"/>
        <color rgb="FF3F3F76"/>
        <rFont val="Aptos Narrow"/>
        <family val="2"/>
        <scheme val="minor"/>
      </rPr>
      <t xml:space="preserve"> N/A</t>
    </r>
  </si>
  <si>
    <t>Absent</t>
  </si>
  <si>
    <r>
      <rPr>
        <b/>
        <sz val="9"/>
        <color rgb="FF3F3F76"/>
        <rFont val="Aptos Narrow"/>
        <family val="2"/>
        <scheme val="minor"/>
      </rPr>
      <t>Progrès accomplis:</t>
    </r>
    <r>
      <rPr>
        <sz val="9"/>
        <color rgb="FF3F3F76"/>
        <rFont val="Aptos Narrow"/>
        <family val="2"/>
        <scheme val="minor"/>
      </rPr>
      <t xml:space="preserve">   Céer la page d'accueil et tester différents logiciels pour créer des dessins de cartes                     </t>
    </r>
    <r>
      <rPr>
        <b/>
        <sz val="9"/>
        <color rgb="FF3F3F76"/>
        <rFont val="Aptos Narrow"/>
        <family val="2"/>
        <scheme val="minor"/>
      </rPr>
      <t>Objectifs pour la journée:</t>
    </r>
    <r>
      <rPr>
        <sz val="9"/>
        <color rgb="FF3F3F76"/>
        <rFont val="Aptos Narrow"/>
        <family val="2"/>
        <scheme val="minor"/>
      </rPr>
      <t xml:space="preserve"> Trouver les cartes King, Queen, Ace et Joker pour la page d'accueil et commencer sa conception                                            </t>
    </r>
    <r>
      <rPr>
        <b/>
        <sz val="9"/>
        <color rgb="FF3F3F76"/>
        <rFont val="Aptos Narrow"/>
        <family val="2"/>
        <scheme val="minor"/>
      </rPr>
      <t xml:space="preserve"> Obstacles rencontrés:</t>
    </r>
    <r>
      <rPr>
        <sz val="9"/>
        <color rgb="FF3F3F76"/>
        <rFont val="Aptos Narrow"/>
        <family val="2"/>
        <scheme val="minor"/>
      </rPr>
      <t xml:space="preserve"> N/A                      </t>
    </r>
    <r>
      <rPr>
        <b/>
        <sz val="9"/>
        <color rgb="FF3F3F76"/>
        <rFont val="Aptos Narrow"/>
        <family val="2"/>
        <scheme val="minor"/>
      </rPr>
      <t xml:space="preserve">  Actions Suivantes:</t>
    </r>
    <r>
      <rPr>
        <sz val="9"/>
        <color rgb="FF3F3F76"/>
        <rFont val="Aptos Narrow"/>
        <family val="2"/>
        <scheme val="minor"/>
      </rPr>
      <t xml:space="preserve"> N/A</t>
    </r>
  </si>
  <si>
    <r>
      <rPr>
        <b/>
        <sz val="10"/>
        <color rgb="FF3F3F76"/>
        <rFont val="Aptos Narrow"/>
        <family val="2"/>
        <scheme val="minor"/>
      </rPr>
      <t>Progrès accomplis:</t>
    </r>
    <r>
      <rPr>
        <sz val="10"/>
        <color rgb="FF3F3F76"/>
        <rFont val="Aptos Narrow"/>
        <family val="2"/>
        <scheme val="minor"/>
      </rPr>
      <t xml:space="preserve"> Terminé la conception des pages et le document personnel                            </t>
    </r>
    <r>
      <rPr>
        <b/>
        <sz val="10"/>
        <color rgb="FF3F3F76"/>
        <rFont val="Aptos Narrow"/>
        <family val="2"/>
        <scheme val="minor"/>
      </rPr>
      <t xml:space="preserve">          Objectifs pour la journée:</t>
    </r>
    <r>
      <rPr>
        <sz val="10"/>
        <color rgb="FF3F3F76"/>
        <rFont val="Aptos Narrow"/>
        <family val="2"/>
        <scheme val="minor"/>
      </rPr>
      <t xml:space="preserve">  Finir conception des pages de connexion et d'inscription ainsi que le document personnel                                               </t>
    </r>
    <r>
      <rPr>
        <b/>
        <sz val="10"/>
        <color rgb="FF3F3F76"/>
        <rFont val="Aptos Narrow"/>
        <family val="2"/>
        <scheme val="minor"/>
      </rPr>
      <t>Obstacles rencontrés: N/A</t>
    </r>
    <r>
      <rPr>
        <sz val="10"/>
        <color rgb="FF3F3F76"/>
        <rFont val="Aptos Narrow"/>
        <family val="2"/>
        <scheme val="minor"/>
      </rPr>
      <t xml:space="preserve">                       </t>
    </r>
    <r>
      <rPr>
        <b/>
        <sz val="10"/>
        <color rgb="FF3F3F76"/>
        <rFont val="Aptos Narrow"/>
        <family val="2"/>
        <scheme val="minor"/>
      </rPr>
      <t xml:space="preserve"> Actions Suivantes: N/A</t>
    </r>
  </si>
  <si>
    <r>
      <rPr>
        <b/>
        <sz val="11"/>
        <color rgb="FF3F3F76"/>
        <rFont val="Aptos Narrow"/>
        <family val="2"/>
        <scheme val="minor"/>
      </rPr>
      <t xml:space="preserve">Progrès accomplis: </t>
    </r>
    <r>
      <rPr>
        <sz val="11"/>
        <color rgb="FF3F3F76"/>
        <rFont val="Aptos Narrow"/>
        <family val="2"/>
        <scheme val="minor"/>
      </rPr>
      <t xml:space="preserve">Terminé la conception du modèle logique de la base de données  </t>
    </r>
    <r>
      <rPr>
        <b/>
        <sz val="11"/>
        <color rgb="FF3F3F76"/>
        <rFont val="Aptos Narrow"/>
        <family val="2"/>
        <scheme val="minor"/>
      </rPr>
      <t xml:space="preserve">                 Objectifs pour la journée :</t>
    </r>
    <r>
      <rPr>
        <sz val="11"/>
        <color rgb="FF3F3F76"/>
        <rFont val="Aptos Narrow"/>
        <family val="2"/>
        <scheme val="minor"/>
      </rPr>
      <t xml:space="preserve">Finir la conception de la bdd.        </t>
    </r>
    <r>
      <rPr>
        <b/>
        <sz val="11"/>
        <color rgb="FF3F3F76"/>
        <rFont val="Aptos Narrow"/>
        <family val="2"/>
        <scheme val="minor"/>
      </rPr>
      <t xml:space="preserve">    Obstacles rencontrés:</t>
    </r>
    <r>
      <rPr>
        <sz val="11"/>
        <color rgb="FF3F3F76"/>
        <rFont val="Aptos Narrow"/>
        <family val="2"/>
        <scheme val="minor"/>
      </rPr>
      <t>N/A</t>
    </r>
    <r>
      <rPr>
        <b/>
        <sz val="11"/>
        <color rgb="FF3F3F76"/>
        <rFont val="Aptos Narrow"/>
        <family val="2"/>
        <scheme val="minor"/>
      </rPr>
      <t xml:space="preserve">      Actions Suivantes: aide de l'enseignant: </t>
    </r>
    <r>
      <rPr>
        <sz val="11"/>
        <color rgb="FF3F3F76"/>
        <rFont val="Aptos Narrow"/>
        <family val="2"/>
        <scheme val="minor"/>
      </rPr>
      <t>N/A</t>
    </r>
  </si>
  <si>
    <r>
      <rPr>
        <b/>
        <sz val="11"/>
        <color rgb="FF3F3F76"/>
        <rFont val="Aptos Narrow"/>
        <family val="2"/>
        <scheme val="minor"/>
      </rPr>
      <t>Progrès accomplis:</t>
    </r>
    <r>
      <rPr>
        <sz val="11"/>
        <color rgb="FF3F3F76"/>
        <rFont val="Aptos Narrow"/>
        <family val="2"/>
        <scheme val="minor"/>
      </rPr>
      <t xml:space="preserve"> Terminé la conception du logo                     </t>
    </r>
    <r>
      <rPr>
        <b/>
        <sz val="11"/>
        <color rgb="FF3F3F76"/>
        <rFont val="Aptos Narrow"/>
        <family val="2"/>
        <scheme val="minor"/>
      </rPr>
      <t>Objectifs pour la journée :</t>
    </r>
    <r>
      <rPr>
        <sz val="11"/>
        <color rgb="FF3F3F76"/>
        <rFont val="Aptos Narrow"/>
        <family val="2"/>
        <scheme val="minor"/>
      </rPr>
      <t xml:space="preserve">Finir la conception du logo plus figma ( page dacceuil.                                       </t>
    </r>
    <r>
      <rPr>
        <b/>
        <sz val="11"/>
        <color rgb="FF3F3F76"/>
        <rFont val="Aptos Narrow"/>
        <family val="2"/>
        <scheme val="minor"/>
      </rPr>
      <t>Obstacles rencontrés:</t>
    </r>
    <r>
      <rPr>
        <sz val="11"/>
        <color rgb="FF3F3F76"/>
        <rFont val="Aptos Narrow"/>
        <family val="2"/>
        <scheme val="minor"/>
      </rPr>
      <t xml:space="preserve">N/A          </t>
    </r>
    <r>
      <rPr>
        <b/>
        <sz val="11"/>
        <color rgb="FF3F3F76"/>
        <rFont val="Aptos Narrow"/>
        <family val="2"/>
        <scheme val="minor"/>
      </rPr>
      <t>Actions Suivantes:</t>
    </r>
    <r>
      <rPr>
        <sz val="11"/>
        <color rgb="FF3F3F76"/>
        <rFont val="Aptos Narrow"/>
        <family val="2"/>
        <scheme val="minor"/>
      </rPr>
      <t xml:space="preserve"> aide de l'enseignant: N/A</t>
    </r>
  </si>
  <si>
    <t>Progrès accomplis: Terminé la conception des pages sur figma et le document personnel et le excel                                  Objectifs pour la journée:  Finir conception des pages de acceuil et swipe ainsi que le document personnel                                               Obstacles rencontrés: N/A                        Actions Suivantes: N/A</t>
  </si>
  <si>
    <t>Absente</t>
  </si>
  <si>
    <r>
      <rPr>
        <b/>
        <sz val="11"/>
        <color rgb="FF3F3F76"/>
        <rFont val="Aptos Narrow"/>
        <family val="2"/>
        <scheme val="minor"/>
      </rPr>
      <t>Progrès accomplis</t>
    </r>
    <r>
      <rPr>
        <sz val="11"/>
        <color rgb="FF3F3F76"/>
        <rFont val="Aptos Narrow"/>
        <family val="2"/>
        <scheme val="minor"/>
      </rPr>
      <t xml:space="preserve">: Creation du server et la connection.                        </t>
    </r>
    <r>
      <rPr>
        <b/>
        <sz val="11"/>
        <color rgb="FF3F3F76"/>
        <rFont val="Aptos Narrow"/>
        <family val="2"/>
        <scheme val="minor"/>
      </rPr>
      <t xml:space="preserve">Objectifs pour la journée : </t>
    </r>
    <r>
      <rPr>
        <sz val="11"/>
        <color rgb="FF3F3F76"/>
        <rFont val="Aptos Narrow"/>
        <family val="2"/>
        <scheme val="minor"/>
      </rPr>
      <t xml:space="preserve">Commencer figma ( header ).                                 </t>
    </r>
    <r>
      <rPr>
        <b/>
        <sz val="11"/>
        <color rgb="FF3F3F76"/>
        <rFont val="Aptos Narrow"/>
        <family val="2"/>
        <scheme val="minor"/>
      </rPr>
      <t>Obstacles rencontrés:</t>
    </r>
    <r>
      <rPr>
        <sz val="11"/>
        <color rgb="FF3F3F76"/>
        <rFont val="Aptos Narrow"/>
        <family val="2"/>
        <scheme val="minor"/>
      </rPr>
      <t xml:space="preserve">N/A          </t>
    </r>
    <r>
      <rPr>
        <b/>
        <sz val="11"/>
        <color rgb="FF3F3F76"/>
        <rFont val="Aptos Narrow"/>
        <family val="2"/>
        <scheme val="minor"/>
      </rPr>
      <t>Actions Suivantes:</t>
    </r>
    <r>
      <rPr>
        <sz val="11"/>
        <color rgb="FF3F3F76"/>
        <rFont val="Aptos Narrow"/>
        <family val="2"/>
        <scheme val="minor"/>
      </rPr>
      <t xml:space="preserve"> aide de l'enseignant: N/A</t>
    </r>
  </si>
  <si>
    <r>
      <rPr>
        <b/>
        <sz val="9"/>
        <color rgb="FF3F3F76"/>
        <rFont val="Aptos Narrow"/>
        <family val="2"/>
      </rPr>
      <t xml:space="preserve">Progrès accomplis:  </t>
    </r>
    <r>
      <rPr>
        <sz val="9"/>
        <color rgb="FF3F3F76"/>
        <rFont val="Aptos Narrow"/>
        <family val="2"/>
      </rPr>
      <t>Conecpt header</t>
    </r>
    <r>
      <rPr>
        <b/>
        <sz val="9"/>
        <color rgb="FF3F3F76"/>
        <rFont val="Aptos Narrow"/>
        <family val="2"/>
      </rPr>
      <t xml:space="preserve">         </t>
    </r>
    <r>
      <rPr>
        <sz val="9"/>
        <color rgb="FF3F3F76"/>
        <rFont val="Aptos Narrow"/>
        <family val="2"/>
      </rPr>
      <t xml:space="preserve">                                </t>
    </r>
    <r>
      <rPr>
        <b/>
        <sz val="9"/>
        <color rgb="FF3F3F76"/>
        <rFont val="Aptos Narrow"/>
        <family val="2"/>
      </rPr>
      <t xml:space="preserve">Objectifs pour la journée : </t>
    </r>
    <r>
      <rPr>
        <sz val="9"/>
        <color rgb="FF3F3F76"/>
        <rFont val="Aptos Narrow"/>
        <family val="2"/>
      </rPr>
      <t xml:space="preserve">Faire connecter la base de donné avec le site web                                           </t>
    </r>
    <r>
      <rPr>
        <b/>
        <sz val="9"/>
        <color rgb="FF3F3F76"/>
        <rFont val="Aptos Narrow"/>
        <family val="2"/>
      </rPr>
      <t xml:space="preserve">Obstacles rencontrés: </t>
    </r>
    <r>
      <rPr>
        <sz val="9"/>
        <color rgb="FF3F3F76"/>
        <rFont val="Aptos Narrow"/>
        <family val="2"/>
      </rPr>
      <t xml:space="preserve">L'authorisation du base de donnés null. Meme avec le Grant all                                                </t>
    </r>
    <r>
      <rPr>
        <b/>
        <sz val="9"/>
        <color rgb="FF3F3F76"/>
        <rFont val="Aptos Narrow"/>
        <family val="2"/>
      </rPr>
      <t xml:space="preserve">Actions Suivantes: </t>
    </r>
    <r>
      <rPr>
        <sz val="9"/>
        <color rgb="FF3F3F76"/>
        <rFont val="Aptos Narrow"/>
        <family val="2"/>
      </rPr>
      <t>aide de l'enseignant: N/A</t>
    </r>
  </si>
  <si>
    <t xml:space="preserve">Progrès accomplis: Terminé la conception des pages et connecter le base de donné avec le site web.                                 Objectifs pour la journée:  Finir conception des pages de connexion et d'inscription ainsi que le document personnel                          </t>
  </si>
  <si>
    <t>WIP</t>
  </si>
  <si>
    <t>N/A</t>
  </si>
  <si>
    <t>Âge moyen des items</t>
  </si>
  <si>
    <t>Revue</t>
  </si>
  <si>
    <t>Priorités pour le prochain sprint</t>
  </si>
  <si>
    <t>Conception prototypes des 4 pages (Accueil, Inscription, Connexion, Abonnement) en html/css/js et Création compte qui s'insère dans la bdd</t>
  </si>
  <si>
    <t>Changements aux objectifs / besoins</t>
  </si>
  <si>
    <t>Ajout de besoins et fonctionnalités : Utiliser un algorithme de machine learning pour faire les match des lieux des personnes, Ajouter un système de vérification de profil en utilisant une pièce d'identité</t>
  </si>
  <si>
    <t>Rétrospective</t>
  </si>
  <si>
    <t>Points forts</t>
  </si>
  <si>
    <t>Productivité, creativité, division des tâches, travail d'équipe</t>
  </si>
  <si>
    <t>Points à améliorer</t>
  </si>
  <si>
    <t>gestion du temps, communication</t>
  </si>
  <si>
    <t>Mesure d'amélioration pour le prochain sprint</t>
  </si>
  <si>
    <t>utiliser des outils de communication hors de l'école comme des résaux sociaux et des outils de gestion de temps comme Trello</t>
  </si>
  <si>
    <t>Bilan de la mesure d'amélioration du sprint courant</t>
  </si>
  <si>
    <t xml:space="preserve">Objectif de sprint: Conception prototypes des 4 pages &amp; Création compte qui s'insère dans la bdd			</t>
  </si>
  <si>
    <t>Conception du prototype du site web</t>
  </si>
  <si>
    <t>Conception des pages (HTML seulement)</t>
  </si>
  <si>
    <t>Page Accueil</t>
  </si>
  <si>
    <t>Page Inscription</t>
  </si>
  <si>
    <t>Page Connexion</t>
  </si>
  <si>
    <t>Page Abonnement</t>
  </si>
  <si>
    <t>Conception des pages (CSS seulement)</t>
  </si>
  <si>
    <t>Conception de l'animation utilisant javascript</t>
  </si>
  <si>
    <t>Création compte qui s'insère dans la bdd</t>
  </si>
  <si>
    <t>1 (12 Septembre)</t>
  </si>
  <si>
    <t>2 (17 Septembre)</t>
  </si>
  <si>
    <t>3 (24 Septembre)</t>
  </si>
  <si>
    <t>4 (26 Septembre)</t>
  </si>
  <si>
    <r>
      <rPr>
        <b/>
        <sz val="10"/>
        <color rgb="FF3F3F76"/>
        <rFont val="Aptos Narrow"/>
        <scheme val="minor"/>
      </rPr>
      <t>Progrès accomplis:</t>
    </r>
    <r>
      <rPr>
        <sz val="10"/>
        <color rgb="FF3F3F76"/>
        <rFont val="Aptos Narrow"/>
        <scheme val="minor"/>
      </rPr>
      <t xml:space="preserve"> Terminé la préparation du sprint 2, commencer la création de la page création compte (html)                               </t>
    </r>
    <r>
      <rPr>
        <b/>
        <sz val="10"/>
        <color rgb="FF3F3F76"/>
        <rFont val="Aptos Narrow"/>
        <scheme val="minor"/>
      </rPr>
      <t>Objectifs pour la journée:</t>
    </r>
    <r>
      <rPr>
        <sz val="10"/>
        <color rgb="FF3F3F76"/>
        <rFont val="Aptos Narrow"/>
        <scheme val="minor"/>
      </rPr>
      <t xml:space="preserve"> Plannifier le sprint 2 et commencer à coder la page Création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</si>
  <si>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Terminé le html et le css de la page création compte (manque JS)                                                            </t>
    </r>
    <r>
      <rPr>
        <b/>
        <sz val="10"/>
        <color rgb="FF3F3F76"/>
        <rFont val="Aptos Narrow"/>
        <scheme val="minor"/>
      </rPr>
      <t>Objectifs pour la journée:</t>
    </r>
    <r>
      <rPr>
        <sz val="10"/>
        <color rgb="FF3F3F76"/>
        <rFont val="Aptos Narrow"/>
        <scheme val="minor"/>
      </rPr>
      <t xml:space="preserve"> Terminer page création compte                                       </t>
    </r>
    <r>
      <rPr>
        <b/>
        <sz val="10"/>
        <color rgb="FF3F3F76"/>
        <rFont val="Aptos Narrow"/>
        <scheme val="minor"/>
      </rPr>
      <t xml:space="preserve">Obstacles rencontrés: </t>
    </r>
    <r>
      <rPr>
        <sz val="10"/>
        <color rgb="FF3F3F76"/>
        <rFont val="Aptos Narrow"/>
        <scheme val="minor"/>
      </rPr>
      <t xml:space="preserve">bugs de liaison des fichiers css externes                        </t>
    </r>
    <r>
      <rPr>
        <b/>
        <sz val="10"/>
        <color rgb="FF3F3F76"/>
        <rFont val="Aptos Narrow"/>
        <scheme val="minor"/>
      </rPr>
      <t>Actions Suivantes:</t>
    </r>
    <r>
      <rPr>
        <sz val="10"/>
        <color rgb="FF3F3F76"/>
        <rFont val="Aptos Narrow"/>
        <scheme val="minor"/>
      </rPr>
      <t xml:space="preserve"> Chercher un bugfix pour pouvoir faire liaison html/css externe</t>
    </r>
  </si>
  <si>
    <r>
      <rPr>
        <b/>
        <sz val="10"/>
        <color rgb="FF3F3F76"/>
        <rFont val="Aptos Narrow"/>
        <scheme val="minor"/>
      </rPr>
      <t>Progrès accomplis:</t>
    </r>
    <r>
      <rPr>
        <sz val="10"/>
        <color rgb="FF3F3F76"/>
        <rFont val="Aptos Narrow"/>
        <scheme val="minor"/>
      </rPr>
      <t xml:space="preserve"> Terminé l'animation de la page création compte et régler le bug de la liaison css                               </t>
    </r>
    <r>
      <rPr>
        <b/>
        <sz val="10"/>
        <color rgb="FF3F3F76"/>
        <rFont val="Aptos Narrow"/>
        <scheme val="minor"/>
      </rPr>
      <t>Objectifs pour la journée:</t>
    </r>
    <r>
      <rPr>
        <sz val="10"/>
        <color rgb="FF3F3F76"/>
        <rFont val="Aptos Narrow"/>
        <scheme val="minor"/>
      </rPr>
      <t xml:space="preserve"> Régler bug fichier css externe et commencer page Inscription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</si>
  <si>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9"/>
        <color rgb="FF3F3F76"/>
        <rFont val="Aptos Narrow"/>
        <family val="2"/>
        <scheme val="minor"/>
      </rPr>
      <t>Progrès accomplis:</t>
    </r>
    <r>
      <rPr>
        <sz val="9"/>
        <color rgb="FF3F3F76"/>
        <rFont val="Aptos Narrow"/>
        <family val="2"/>
        <scheme val="minor"/>
      </rPr>
      <t xml:space="preserve"> Terminé html de la page inscription et commencer css                            </t>
    </r>
    <r>
      <rPr>
        <b/>
        <sz val="9"/>
        <color rgb="FF3F3F76"/>
        <rFont val="Aptos Narrow"/>
        <family val="2"/>
        <scheme val="minor"/>
      </rPr>
      <t>Objectifs pour la journée:</t>
    </r>
    <r>
      <rPr>
        <sz val="9"/>
        <color rgb="FF3F3F76"/>
        <rFont val="Aptos Narrow"/>
        <family val="2"/>
        <scheme val="minor"/>
      </rPr>
      <t xml:space="preserve"> Terminer html et css de la page d'inscription                                              </t>
    </r>
    <r>
      <rPr>
        <b/>
        <sz val="9"/>
        <color rgb="FF3F3F76"/>
        <rFont val="Aptos Narrow"/>
        <family val="2"/>
        <scheme val="minor"/>
      </rPr>
      <t xml:space="preserve">Obstacles rencontrés: </t>
    </r>
    <r>
      <rPr>
        <sz val="9"/>
        <color rgb="FF3F3F76"/>
        <rFont val="Aptos Narrow"/>
        <family val="2"/>
        <scheme val="minor"/>
      </rPr>
      <t>bug qui ne permet pas de modifier les erreurs d'entrées de l'utilisateur à l'aide de css</t>
    </r>
    <r>
      <rPr>
        <b/>
        <sz val="9"/>
        <color rgb="FF3F3F76"/>
        <rFont val="Aptos Narrow"/>
        <family val="2"/>
        <scheme val="minor"/>
      </rPr>
      <t xml:space="preserve">                                        </t>
    </r>
    <r>
      <rPr>
        <sz val="9"/>
        <color rgb="FF3F3F76"/>
        <rFont val="Aptos Narrow"/>
        <family val="2"/>
        <scheme val="minor"/>
      </rPr>
      <t xml:space="preserve">                </t>
    </r>
    <r>
      <rPr>
        <b/>
        <sz val="9"/>
        <color rgb="FF3F3F76"/>
        <rFont val="Aptos Narrow"/>
        <family val="2"/>
        <scheme val="minor"/>
      </rPr>
      <t>Actions Suivantes:</t>
    </r>
    <r>
      <rPr>
        <sz val="9"/>
        <color rgb="FF3F3F76"/>
        <rFont val="Aptos Narrow"/>
        <family val="2"/>
        <scheme val="minor"/>
      </rPr>
      <t xml:space="preserve"> Recherche pour trouver comment modifier le css correctement </t>
    </r>
  </si>
  <si>
    <t>absent</t>
  </si>
  <si>
    <r>
      <rPr>
        <b/>
        <sz val="10"/>
        <color rgb="FF3F3F76"/>
        <rFont val="Aptos Narrow"/>
        <scheme val="minor"/>
      </rPr>
      <t>Progrès accomplis:</t>
    </r>
    <r>
      <rPr>
        <sz val="10"/>
        <color rgb="FF3F3F76"/>
        <rFont val="Aptos Narrow"/>
        <scheme val="minor"/>
      </rPr>
      <t xml:space="preserve"> commencer a faire la page d'acceuil                               </t>
    </r>
    <r>
      <rPr>
        <b/>
        <sz val="10"/>
        <color rgb="FF3F3F76"/>
        <rFont val="Aptos Narrow"/>
        <scheme val="minor"/>
      </rPr>
      <t>Objectifs pour la journée:</t>
    </r>
    <r>
      <rPr>
        <sz val="10"/>
        <color rgb="FF3F3F76"/>
        <rFont val="Aptos Narrow"/>
        <scheme val="minor"/>
      </rPr>
      <t xml:space="preserve"> avancer sur le developpement de la page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</si>
  <si>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Avancement dans la page d'acceuil                               </t>
    </r>
    <r>
      <rPr>
        <b/>
        <sz val="10"/>
        <color rgb="FF3F3F76"/>
        <rFont val="Aptos Narrow"/>
        <scheme val="minor"/>
      </rPr>
      <t>Objectifs pour la journée:</t>
    </r>
    <r>
      <rPr>
        <sz val="10"/>
        <color rgb="FF3F3F76"/>
        <rFont val="Aptos Narrow"/>
        <scheme val="minor"/>
      </rPr>
      <t xml:space="preserve"> terminer le html et css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</si>
  <si>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finition de la page acceuil                 </t>
    </r>
    <r>
      <rPr>
        <b/>
        <sz val="10"/>
        <color rgb="FF3F3F76"/>
        <rFont val="Aptos Narrow"/>
        <scheme val="minor"/>
      </rPr>
      <t>Objectifs pour la journée:</t>
    </r>
    <r>
      <rPr>
        <sz val="10"/>
        <color rgb="FF3F3F76"/>
        <rFont val="Aptos Narrow"/>
        <scheme val="minor"/>
      </rPr>
      <t xml:space="preserve"> finition du html et css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</si>
  <si>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Terminé la conception du page d'abonnement  (figma)                                </t>
    </r>
    <r>
      <rPr>
        <b/>
        <sz val="10"/>
        <color rgb="FF3F3F76"/>
        <rFont val="Aptos Narrow"/>
        <scheme val="minor"/>
      </rPr>
      <t>Objectifs pour la journée:</t>
    </r>
    <r>
      <rPr>
        <sz val="10"/>
        <color rgb="FF3F3F76"/>
        <rFont val="Aptos Narrow"/>
        <scheme val="minor"/>
      </rPr>
      <t xml:space="preserve"> Commencer a faire le header et la page d'abonnement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</si>
  <si>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Créer le header et commencer la page d'abonnement                </t>
    </r>
    <r>
      <rPr>
        <b/>
        <sz val="10"/>
        <color rgb="FF3F3F76"/>
        <rFont val="Aptos Narrow"/>
        <scheme val="minor"/>
      </rPr>
      <t>Objectifs pour la journée:</t>
    </r>
    <r>
      <rPr>
        <sz val="10"/>
        <color rgb="FF3F3F76"/>
        <rFont val="Aptos Narrow"/>
        <scheme val="minor"/>
      </rPr>
      <t xml:space="preserve"> Terminer la page d'abonnement css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</si>
  <si>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Style du page d'abonnement fixed.                      </t>
    </r>
    <r>
      <rPr>
        <b/>
        <sz val="10"/>
        <color rgb="FF3F3F76"/>
        <rFont val="Aptos Narrow"/>
        <scheme val="minor"/>
      </rPr>
      <t>Objectifs pour la journée:</t>
    </r>
    <r>
      <rPr>
        <sz val="10"/>
        <color rgb="FF3F3F76"/>
        <rFont val="Aptos Narrow"/>
        <scheme val="minor"/>
      </rPr>
      <t xml:space="preserve">    Terminer l'animation pour la page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</si>
  <si>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rPr>
      <t>Progrès accomplis:</t>
    </r>
    <r>
      <rPr>
        <sz val="10"/>
        <color rgb="FF3F3F76"/>
        <rFont val="Aptos Narrow"/>
      </rPr>
      <t xml:space="preserve"> Animation terminer                   </t>
    </r>
    <r>
      <rPr>
        <b/>
        <sz val="10"/>
        <color rgb="FF3F3F76"/>
        <rFont val="Aptos Narrow"/>
      </rPr>
      <t>Objectifs pour la journée:</t>
    </r>
    <r>
      <rPr>
        <sz val="10"/>
        <color rgb="FF3F3F76"/>
        <rFont val="Aptos Narrow"/>
      </rPr>
      <t xml:space="preserve">    Finir le css                                        </t>
    </r>
    <r>
      <rPr>
        <b/>
        <sz val="10"/>
        <color rgb="FF3F3F76"/>
        <rFont val="Aptos Narrow"/>
      </rPr>
      <t>Obstacles rencontrés: NA</t>
    </r>
    <r>
      <rPr>
        <sz val="10"/>
        <color rgb="FF3F3F76"/>
        <rFont val="Aptos Narrow"/>
      </rPr>
      <t xml:space="preserve">                   </t>
    </r>
    <r>
      <rPr>
        <b/>
        <sz val="10"/>
        <color rgb="FF3F3F76"/>
        <rFont val="Aptos Narrow"/>
      </rPr>
      <t>Actions Suivantes:</t>
    </r>
    <r>
      <rPr>
        <sz val="10"/>
        <color rgb="FF3F3F76"/>
        <rFont val="Aptos Narrow"/>
      </rPr>
      <t xml:space="preserve"> N/A</t>
    </r>
  </si>
  <si>
    <t>Régler bug css</t>
  </si>
  <si>
    <t>Cas d'utilisation, Terminer le css/js de la page inscription , Ajouter des options dans la page acceuil et mettre des interactions avec Javascript</t>
  </si>
  <si>
    <t>travail productif, réglage des bugs rapidement</t>
  </si>
  <si>
    <t>travail d'équipe, addition de plus de tâches pour les sprint</t>
  </si>
  <si>
    <t>travailler plus en équipe que seul pour être mieux coordonnés et ainsi pouvoir faire plus de tâches</t>
  </si>
  <si>
    <t>On a utilisé les résaux sociaux pour mieux communiquer, mais l'on doit plus utiliser Trello pour pouvoir visualizer nos tâches correctement.</t>
  </si>
  <si>
    <t>Objectif de sprint: Rattrapper les tâches du sprint passé et développer le back-end du prototype</t>
  </si>
  <si>
    <t>Finir tâches du sprint passé</t>
  </si>
  <si>
    <t>Finir Page Inscription</t>
  </si>
  <si>
    <t>Finir header</t>
  </si>
  <si>
    <t>Paiement abonnement (Implementer API square)</t>
  </si>
  <si>
    <t>Trouver facon de stocker efficacement photos dans bdd</t>
  </si>
  <si>
    <t>travailler sur le header de la page</t>
  </si>
  <si>
    <t>Finir le css de la page d'acceuil</t>
  </si>
  <si>
    <t xml:space="preserve">Connection de l'utilisateur </t>
  </si>
  <si>
    <t>Ajout d'abonnement pour les utilisateurs</t>
  </si>
  <si>
    <t>page profil ( informations client + supprimer compte + modifier mdp )</t>
  </si>
  <si>
    <t>1 (1 octobre)</t>
  </si>
  <si>
    <t>2 (3 Octobre)</t>
  </si>
  <si>
    <t>3 (8 Octobre)</t>
  </si>
  <si>
    <t>4 (10 Octobre)</t>
  </si>
  <si>
    <r>
      <rPr>
        <b/>
        <sz val="10"/>
        <color rgb="FF3F3F76"/>
        <rFont val="Aptos Narrow"/>
        <family val="2"/>
        <scheme val="minor"/>
      </rPr>
      <t>Progrès accomplis:</t>
    </r>
    <r>
      <rPr>
        <sz val="10"/>
        <color rgb="FF3F3F76"/>
        <rFont val="Aptos Narrow"/>
        <scheme val="minor"/>
      </rPr>
      <t xml:space="preserve"> Ajouter le font et les icones nécessaires ainsi que le css du formulaire d'inscription                                                                  </t>
    </r>
    <r>
      <rPr>
        <b/>
        <sz val="10"/>
        <color rgb="FF3F3F76"/>
        <rFont val="Aptos Narrow"/>
        <family val="2"/>
        <scheme val="minor"/>
      </rPr>
      <t>Objectifs pour la journée:</t>
    </r>
    <r>
      <rPr>
        <sz val="10"/>
        <color rgb="FF3F3F76"/>
        <rFont val="Aptos Narrow"/>
        <scheme val="minor"/>
      </rPr>
      <t xml:space="preserve"> Terminer nouvelle version du html                                                       </t>
    </r>
    <r>
      <rPr>
        <b/>
        <sz val="10"/>
        <color rgb="FF3F3F76"/>
        <rFont val="Aptos Narrow"/>
        <family val="2"/>
        <scheme val="minor"/>
      </rPr>
      <t xml:space="preserve"> Obstacles rencontrés:</t>
    </r>
    <r>
      <rPr>
        <sz val="10"/>
        <color rgb="FF3F3F76"/>
        <rFont val="Aptos Narrow"/>
        <scheme val="minor"/>
      </rPr>
      <t xml:space="preserve"> N/A                                  </t>
    </r>
    <r>
      <rPr>
        <b/>
        <sz val="10"/>
        <color rgb="FF3F3F76"/>
        <rFont val="Aptos Narrow"/>
        <family val="2"/>
        <scheme val="minor"/>
      </rPr>
      <t>Actions Suivantes:</t>
    </r>
    <r>
      <rPr>
        <sz val="10"/>
        <color rgb="FF3F3F76"/>
        <rFont val="Aptos Narrow"/>
        <scheme val="minor"/>
      </rPr>
      <t xml:space="preserve"> N/A</t>
    </r>
  </si>
  <si>
    <r>
      <rPr>
        <b/>
        <sz val="10"/>
        <color rgb="FF3F3F76"/>
        <rFont val="Aptos Narrow"/>
        <family val="2"/>
        <scheme val="minor"/>
      </rPr>
      <t>Progrès accomplis:</t>
    </r>
    <r>
      <rPr>
        <sz val="10"/>
        <color rgb="FF3F3F76"/>
        <rFont val="Aptos Narrow"/>
        <scheme val="minor"/>
      </rPr>
      <t xml:space="preserve"> Implémenter js et ajustement css                                               </t>
    </r>
    <r>
      <rPr>
        <b/>
        <sz val="10"/>
        <color rgb="FF3F3F76"/>
        <rFont val="Aptos Narrow"/>
        <family val="2"/>
        <scheme val="minor"/>
      </rPr>
      <t>Objectifs pour la journée:</t>
    </r>
    <r>
      <rPr>
        <sz val="10"/>
        <color rgb="FF3F3F76"/>
        <rFont val="Aptos Narrow"/>
        <scheme val="minor"/>
      </rPr>
      <t xml:space="preserve">  Implémenter le javscript pour vérifier les inputs de l'utilisateur             </t>
    </r>
    <r>
      <rPr>
        <b/>
        <sz val="10"/>
        <color rgb="FF3F3F76"/>
        <rFont val="Aptos Narrow"/>
        <family val="2"/>
        <scheme val="minor"/>
      </rPr>
      <t xml:space="preserve"> Obstacles rencontrés:</t>
    </r>
    <r>
      <rPr>
        <sz val="10"/>
        <color rgb="FF3F3F76"/>
        <rFont val="Aptos Narrow"/>
        <scheme val="minor"/>
      </rPr>
      <t xml:space="preserve"> N/A                        </t>
    </r>
    <r>
      <rPr>
        <b/>
        <sz val="10"/>
        <color rgb="FF3F3F76"/>
        <rFont val="Aptos Narrow"/>
        <family val="2"/>
        <scheme val="minor"/>
      </rPr>
      <t>Actions Suivantes:</t>
    </r>
    <r>
      <rPr>
        <sz val="10"/>
        <color rgb="FF3F3F76"/>
        <rFont val="Aptos Narrow"/>
        <scheme val="minor"/>
      </rPr>
      <t xml:space="preserve"> N/A</t>
    </r>
  </si>
  <si>
    <r>
      <rPr>
        <b/>
        <sz val="10"/>
        <color rgb="FF3F3F76"/>
        <rFont val="Aptos Narrow"/>
        <family val="2"/>
        <scheme val="minor"/>
      </rPr>
      <t>Progrès accomplis:</t>
    </r>
    <r>
      <rPr>
        <sz val="10"/>
        <color rgb="FF3F3F76"/>
        <rFont val="Aptos Narrow"/>
        <scheme val="minor"/>
      </rPr>
      <t xml:space="preserve"> Ajouter l'utilisateur dans la bdd (bug)                                                   </t>
    </r>
    <r>
      <rPr>
        <b/>
        <sz val="10"/>
        <color rgb="FF3F3F76"/>
        <rFont val="Aptos Narrow"/>
        <family val="2"/>
        <scheme val="minor"/>
      </rPr>
      <t xml:space="preserve">Objectifs pour la journée: </t>
    </r>
    <r>
      <rPr>
        <sz val="10"/>
        <color rgb="FF3F3F76"/>
        <rFont val="Aptos Narrow"/>
        <family val="2"/>
        <scheme val="minor"/>
      </rPr>
      <t>Ajouter l'utilisateur dans la bdd</t>
    </r>
    <r>
      <rPr>
        <sz val="10"/>
        <color rgb="FF3F3F76"/>
        <rFont val="Aptos Narrow"/>
        <scheme val="minor"/>
      </rPr>
      <t xml:space="preserve">                                               </t>
    </r>
    <r>
      <rPr>
        <b/>
        <sz val="10"/>
        <color rgb="FF3F3F76"/>
        <rFont val="Aptos Narrow"/>
        <family val="2"/>
        <scheme val="minor"/>
      </rPr>
      <t xml:space="preserve"> Obstacles rencontrés:</t>
    </r>
    <r>
      <rPr>
        <sz val="10"/>
        <color rgb="FF3F3F76"/>
        <rFont val="Aptos Narrow"/>
        <scheme val="minor"/>
      </rPr>
      <t xml:space="preserve"> données entrées par l'utilisateur sont nulles                                  </t>
    </r>
    <r>
      <rPr>
        <b/>
        <sz val="10"/>
        <color rgb="FF3F3F76"/>
        <rFont val="Aptos Narrow"/>
        <family val="2"/>
        <scheme val="minor"/>
      </rPr>
      <t>Actions Suivantes:</t>
    </r>
    <r>
      <rPr>
        <sz val="10"/>
        <color rgb="FF3F3F76"/>
        <rFont val="Aptos Narrow"/>
        <scheme val="minor"/>
      </rPr>
      <t xml:space="preserve"> Bugfix dans le prochain daily scrum</t>
    </r>
  </si>
  <si>
    <r>
      <rPr>
        <b/>
        <sz val="10"/>
        <color rgb="FF3F3F76"/>
        <rFont val="Aptos Narrow"/>
        <family val="2"/>
        <scheme val="minor"/>
      </rPr>
      <t>Progrès accomplis: Bugfix fini, les bonnes données sont inserées dans la bdd</t>
    </r>
    <r>
      <rPr>
        <sz val="10"/>
        <color rgb="FF3F3F76"/>
        <rFont val="Aptos Narrow"/>
        <scheme val="minor"/>
      </rPr>
      <t xml:space="preserve">                                                             </t>
    </r>
    <r>
      <rPr>
        <b/>
        <sz val="10"/>
        <color rgb="FF3F3F76"/>
        <rFont val="Aptos Narrow"/>
        <family val="2"/>
        <scheme val="minor"/>
      </rPr>
      <t>Objectifs pour la journée:</t>
    </r>
    <r>
      <rPr>
        <sz val="10"/>
        <color rgb="FF3F3F76"/>
        <rFont val="Aptos Narrow"/>
        <scheme val="minor"/>
      </rPr>
      <t xml:space="preserve"> Fix le bug des données nulles dans l'insertion bdd                                                                 </t>
    </r>
    <r>
      <rPr>
        <b/>
        <sz val="10"/>
        <color rgb="FF3F3F76"/>
        <rFont val="Aptos Narrow"/>
        <family val="2"/>
        <scheme val="minor"/>
      </rPr>
      <t xml:space="preserve"> Obstacles rencontrés:</t>
    </r>
    <r>
      <rPr>
        <sz val="10"/>
        <color rgb="FF3F3F76"/>
        <rFont val="Aptos Narrow"/>
        <scheme val="minor"/>
      </rPr>
      <t xml:space="preserve"> N/A                                  </t>
    </r>
    <r>
      <rPr>
        <b/>
        <sz val="10"/>
        <color rgb="FF3F3F76"/>
        <rFont val="Aptos Narrow"/>
        <family val="2"/>
        <scheme val="minor"/>
      </rPr>
      <t>Actions Suivantes:</t>
    </r>
    <r>
      <rPr>
        <sz val="10"/>
        <color rgb="FF3F3F76"/>
        <rFont val="Aptos Narrow"/>
        <scheme val="minor"/>
      </rPr>
      <t xml:space="preserve"> N/A</t>
    </r>
  </si>
  <si>
    <r>
      <rPr>
        <b/>
        <sz val="10"/>
        <color rgb="FF3F3F76"/>
        <rFont val="Aptos Narrow"/>
      </rPr>
      <t>Progrès accomplis:</t>
    </r>
    <r>
      <rPr>
        <sz val="10"/>
        <color rgb="FF3F3F76"/>
        <rFont val="Aptos Narrow"/>
      </rPr>
      <t xml:space="preserve">                                                                  </t>
    </r>
    <r>
      <rPr>
        <b/>
        <sz val="10"/>
        <color rgb="FF3F3F76"/>
        <rFont val="Aptos Narrow"/>
      </rPr>
      <t xml:space="preserve">Objectifs pour la journée: Faire le css du header </t>
    </r>
    <r>
      <rPr>
        <sz val="10"/>
        <color rgb="FF3F3F76"/>
        <rFont val="Aptos Narrow"/>
      </rPr>
      <t xml:space="preserve">                                          </t>
    </r>
    <r>
      <rPr>
        <b/>
        <sz val="10"/>
        <color rgb="FF3F3F76"/>
        <rFont val="Aptos Narrow"/>
      </rPr>
      <t xml:space="preserve">                     Obstacles rencontrés:</t>
    </r>
    <r>
      <rPr>
        <sz val="10"/>
        <color rgb="FF3F3F76"/>
        <rFont val="Aptos Narrow"/>
      </rPr>
      <t xml:space="preserve"> N/A                                  </t>
    </r>
    <r>
      <rPr>
        <b/>
        <sz val="10"/>
        <color rgb="FF3F3F76"/>
        <rFont val="Aptos Narrow"/>
      </rPr>
      <t>Actions Suivantes:</t>
    </r>
    <r>
      <rPr>
        <sz val="10"/>
        <color rgb="FF3F3F76"/>
        <rFont val="Aptos Narrow"/>
      </rPr>
      <t xml:space="preserve"> N/A</t>
    </r>
  </si>
  <si>
    <r>
      <rPr>
        <b/>
        <sz val="10"/>
        <color rgb="FF3F3F76"/>
        <rFont val="Aptos Narrow"/>
      </rPr>
      <t>Progrès accomplis:</t>
    </r>
    <r>
      <rPr>
        <sz val="10"/>
        <color rgb="FF3F3F76"/>
        <rFont val="Aptos Narrow"/>
      </rPr>
      <t xml:space="preserve"> Terminer le style du header                                                                </t>
    </r>
    <r>
      <rPr>
        <b/>
        <sz val="10"/>
        <color rgb="FF3F3F76"/>
        <rFont val="Aptos Narrow"/>
      </rPr>
      <t>Objectifs pour la journée:</t>
    </r>
    <r>
      <rPr>
        <sz val="10"/>
        <color rgb="FF3F3F76"/>
        <rFont val="Aptos Narrow"/>
      </rPr>
      <t xml:space="preserve"> Terminer le CSS de l'accueil sans bug                                           </t>
    </r>
    <r>
      <rPr>
        <b/>
        <sz val="10"/>
        <color rgb="FF3F3F76"/>
        <rFont val="Aptos Narrow"/>
      </rPr>
      <t xml:space="preserve"> Obstacles rencontrés:</t>
    </r>
    <r>
      <rPr>
        <sz val="10"/>
        <color rgb="FF3F3F76"/>
        <rFont val="Aptos Narrow"/>
      </rPr>
      <t xml:space="preserve"> Bug de css pour les cartes quand j'essaye de hover                                 </t>
    </r>
    <r>
      <rPr>
        <b/>
        <sz val="10"/>
        <color rgb="FF3F3F76"/>
        <rFont val="Aptos Narrow"/>
      </rPr>
      <t>Actions Suivantes:</t>
    </r>
    <r>
      <rPr>
        <sz val="10"/>
        <color rgb="FF3F3F76"/>
        <rFont val="Aptos Narrow"/>
      </rPr>
      <t xml:space="preserve"> Analyser le code et demander a chatGPT pour de l'aide (Il n'y a rien compris). </t>
    </r>
  </si>
  <si>
    <r>
      <rPr>
        <b/>
        <sz val="10"/>
        <color rgb="FF3F3F76"/>
        <rFont val="Aptos Narrow"/>
      </rPr>
      <t>Progrès accomplis:</t>
    </r>
    <r>
      <rPr>
        <sz val="10"/>
        <color rgb="FF3F3F76"/>
        <rFont val="Aptos Narrow"/>
      </rPr>
      <t xml:space="preserve">  Page d'acceuil, fix la carte qui hover.                                                                </t>
    </r>
    <r>
      <rPr>
        <b/>
        <sz val="10"/>
        <color rgb="FF3F3F76"/>
        <rFont val="Aptos Narrow"/>
      </rPr>
      <t>Objectifs pour la journée:</t>
    </r>
    <r>
      <rPr>
        <sz val="10"/>
        <color rgb="FF3F3F76"/>
        <rFont val="Aptos Narrow"/>
      </rPr>
      <t xml:space="preserve">  Commencer la page de profil (les détails de l'utilisateur)                                         </t>
    </r>
    <r>
      <rPr>
        <b/>
        <sz val="10"/>
        <color rgb="FF3F3F76"/>
        <rFont val="Aptos Narrow"/>
      </rPr>
      <t xml:space="preserve"> Obstacles rencontrés:</t>
    </r>
    <r>
      <rPr>
        <sz val="10"/>
        <color rgb="FF3F3F76"/>
        <rFont val="Aptos Narrow"/>
      </rPr>
      <t xml:space="preserve"> N/A                                  </t>
    </r>
    <r>
      <rPr>
        <b/>
        <sz val="10"/>
        <color rgb="FF3F3F76"/>
        <rFont val="Aptos Narrow"/>
      </rPr>
      <t>Actions Suivantes:</t>
    </r>
    <r>
      <rPr>
        <sz val="10"/>
        <color rgb="FF3F3F76"/>
        <rFont val="Aptos Narrow"/>
      </rPr>
      <t xml:space="preserve"> N/A</t>
    </r>
  </si>
  <si>
    <r>
      <rPr>
        <b/>
        <sz val="10"/>
        <color rgb="FF3F3F76"/>
        <rFont val="Aptos Narrow"/>
      </rPr>
      <t>Progrès accomplis:</t>
    </r>
    <r>
      <rPr>
        <sz val="10"/>
        <color rgb="FF3F3F76"/>
        <rFont val="Aptos Narrow"/>
      </rPr>
      <t xml:space="preserve">  Afficher les détails de user connecté dans la page profile et aussi de modifier le mot de passe et delete le compte.                                                                 </t>
    </r>
    <r>
      <rPr>
        <b/>
        <sz val="10"/>
        <color rgb="FF3F3F76"/>
        <rFont val="Aptos Narrow"/>
      </rPr>
      <t>Objectifs pour la journée:</t>
    </r>
    <r>
      <rPr>
        <sz val="10"/>
        <color rgb="FF3F3F76"/>
        <rFont val="Aptos Narrow"/>
      </rPr>
      <t xml:space="preserve">                                        </t>
    </r>
    <r>
      <rPr>
        <b/>
        <sz val="10"/>
        <color rgb="FF3F3F76"/>
        <rFont val="Aptos Narrow"/>
      </rPr>
      <t xml:space="preserve"> Obstacles rencontrés:</t>
    </r>
    <r>
      <rPr>
        <sz val="10"/>
        <color rgb="FF3F3F76"/>
        <rFont val="Aptos Narrow"/>
      </rPr>
      <t xml:space="preserve"> N/A                                  </t>
    </r>
    <r>
      <rPr>
        <b/>
        <sz val="10"/>
        <color rgb="FF3F3F76"/>
        <rFont val="Aptos Narrow"/>
      </rPr>
      <t>Actions Suivantes:</t>
    </r>
    <r>
      <rPr>
        <sz val="10"/>
        <color rgb="FF3F3F76"/>
        <rFont val="Aptos Narrow"/>
      </rPr>
      <t xml:space="preserve"> N/A</t>
    </r>
  </si>
  <si>
    <r>
      <rPr>
        <b/>
        <sz val="10"/>
        <color rgb="FF3F3F76"/>
        <rFont val="Aptos Narrow"/>
      </rPr>
      <t>Progrès accomplis:</t>
    </r>
    <r>
      <rPr>
        <sz val="10"/>
        <color rgb="FF3F3F76"/>
        <rFont val="Aptos Narrow"/>
      </rPr>
      <t xml:space="preserve"> Faire le css d'abonnement afin de commencer les fonctionnements des bouttons                                                               </t>
    </r>
    <r>
      <rPr>
        <b/>
        <sz val="10"/>
        <color rgb="FF3F3F76"/>
        <rFont val="Aptos Narrow"/>
      </rPr>
      <t>Objectifs pour la journée:</t>
    </r>
    <r>
      <rPr>
        <sz val="10"/>
        <color rgb="FF3F3F76"/>
        <rFont val="Aptos Narrow"/>
      </rPr>
      <t xml:space="preserve"> Fix la page d'abonnement et commencer a connecter le USER                                                                  </t>
    </r>
    <r>
      <rPr>
        <b/>
        <sz val="10"/>
        <color rgb="FF3F3F76"/>
        <rFont val="Aptos Narrow"/>
      </rPr>
      <t xml:space="preserve"> Obstacles rencontrés:</t>
    </r>
    <r>
      <rPr>
        <sz val="10"/>
        <color rgb="FF3F3F76"/>
        <rFont val="Aptos Narrow"/>
      </rPr>
      <t xml:space="preserve"> N/A                                  </t>
    </r>
    <r>
      <rPr>
        <b/>
        <sz val="10"/>
        <color rgb="FF3F3F76"/>
        <rFont val="Aptos Narrow"/>
      </rPr>
      <t>Actions Suivantes:</t>
    </r>
    <r>
      <rPr>
        <sz val="10"/>
        <color rgb="FF3F3F76"/>
        <rFont val="Aptos Narrow"/>
      </rPr>
      <t xml:space="preserve"> N/A</t>
    </r>
  </si>
  <si>
    <r>
      <rPr>
        <b/>
        <sz val="8"/>
        <color rgb="FF3F3F76"/>
        <rFont val="Aptos Narrow"/>
      </rPr>
      <t>Progrès accomplis:</t>
    </r>
    <r>
      <rPr>
        <sz val="8"/>
        <color rgb="FF3F3F76"/>
        <rFont val="Aptos Narrow"/>
      </rPr>
      <t xml:space="preserve"> Essayer de connecter le USER en modifiant le BD                                                     </t>
    </r>
    <r>
      <rPr>
        <b/>
        <sz val="8"/>
        <color rgb="FF3F3F76"/>
        <rFont val="Aptos Narrow"/>
      </rPr>
      <t>Objectifs pour la journée:</t>
    </r>
    <r>
      <rPr>
        <sz val="8"/>
        <color rgb="FF3F3F76"/>
        <rFont val="Aptos Narrow"/>
      </rPr>
      <t xml:space="preserve"> Terminer de connecter les users                                                  </t>
    </r>
    <r>
      <rPr>
        <b/>
        <sz val="8"/>
        <color rgb="FF3F3F76"/>
        <rFont val="Aptos Narrow"/>
      </rPr>
      <t xml:space="preserve"> Obstacles rencontrés:</t>
    </r>
    <r>
      <rPr>
        <sz val="8"/>
        <color rgb="FF3F3F76"/>
        <rFont val="Aptos Narrow"/>
      </rPr>
      <t xml:space="preserve"> Le base de donné n'avait pas tous les columns pour faire le compte, donc il fallait que j'ajoutes plus de columns. De plus  il y avait une problem pour voir si le user email était la meme que le password a cause de bycrypt                                                          </t>
    </r>
    <r>
      <rPr>
        <b/>
        <sz val="8"/>
        <color rgb="FF3F3F76"/>
        <rFont val="Aptos Narrow"/>
      </rPr>
      <t>Actions Suivantes:</t>
    </r>
    <r>
      <rPr>
        <sz val="8"/>
        <color rgb="FF3F3F76"/>
        <rFont val="Aptos Narrow"/>
      </rPr>
      <t xml:space="preserve"> J'essaye d'enlever bycrypt</t>
    </r>
  </si>
  <si>
    <r>
      <rPr>
        <b/>
        <sz val="8"/>
        <color rgb="FF3F3F76"/>
        <rFont val="Aptos Narrow"/>
      </rPr>
      <t>Progrès accomplis:</t>
    </r>
    <r>
      <rPr>
        <sz val="8"/>
        <color rgb="FF3F3F76"/>
        <rFont val="Aptos Narrow"/>
      </rPr>
      <t xml:space="preserve">Terminer de connecter le user, également avec le user en lien avec le site web           </t>
    </r>
    <r>
      <rPr>
        <b/>
        <sz val="8"/>
        <color rgb="FF3F3F76"/>
        <rFont val="Aptos Narrow"/>
      </rPr>
      <t>Objectifs pour la journée:</t>
    </r>
    <r>
      <rPr>
        <sz val="8"/>
        <color rgb="FF3F3F76"/>
        <rFont val="Aptos Narrow"/>
      </rPr>
      <t xml:space="preserve"> Commencer l'integration d'API paiement + inserer abonnement + modication de code                                        </t>
    </r>
    <r>
      <rPr>
        <b/>
        <sz val="8"/>
        <color rgb="FF3F3F76"/>
        <rFont val="Aptos Narrow"/>
      </rPr>
      <t>Obstacles rencontrés:</t>
    </r>
    <r>
      <rPr>
        <sz val="8"/>
        <color rgb="FF3F3F76"/>
        <rFont val="Aptos Narrow"/>
      </rPr>
      <t xml:space="preserve"> Le post de paiement était difficile a coder a cause des détails qu'il faut préciser. Comme de prendre les infos, les calculer etc.                                  </t>
    </r>
    <r>
      <rPr>
        <b/>
        <sz val="8"/>
        <color rgb="FF3F3F76"/>
        <rFont val="Aptos Narrow"/>
      </rPr>
      <t>Actions Suivantes:</t>
    </r>
    <r>
      <rPr>
        <sz val="8"/>
        <color rgb="FF3F3F76"/>
        <rFont val="Aptos Narrow"/>
      </rPr>
      <t xml:space="preserve"> ChatGpt m'a aidé, mais meme avec il ne me comprennait pas</t>
    </r>
  </si>
  <si>
    <r>
      <rPr>
        <b/>
        <sz val="8"/>
        <color rgb="FF3F3F76"/>
        <rFont val="Aptos Narrow"/>
      </rPr>
      <t>Progrès accomplis:</t>
    </r>
    <r>
      <rPr>
        <sz val="8"/>
        <color rgb="FF3F3F76"/>
        <rFont val="Aptos Narrow"/>
      </rPr>
      <t xml:space="preserve"> Changer le header lorsque le user se connect. API implementer (paiement succès) + redirect a confirmation + link abonnement acheter a user. + Clean abonnement page                                                                 </t>
    </r>
    <r>
      <rPr>
        <b/>
        <sz val="8"/>
        <color rgb="FF3F3F76"/>
        <rFont val="Aptos Narrow"/>
      </rPr>
      <t>Objectifs pour la journée:</t>
    </r>
    <r>
      <rPr>
        <sz val="8"/>
        <color rgb="FF3F3F76"/>
        <rFont val="Aptos Narrow"/>
      </rPr>
      <t xml:space="preserve"> Envoyé l'email apres acheter                                                        </t>
    </r>
    <r>
      <rPr>
        <b/>
        <sz val="8"/>
        <color rgb="FF3F3F76"/>
        <rFont val="Aptos Narrow"/>
      </rPr>
      <t xml:space="preserve"> Obstacles rencontrés:</t>
    </r>
    <r>
      <rPr>
        <sz val="8"/>
        <color rgb="FF3F3F76"/>
        <rFont val="Aptos Narrow"/>
      </rPr>
      <t xml:space="preserve"> Trop de bug pour des trucs mineurs                                 </t>
    </r>
    <r>
      <rPr>
        <b/>
        <sz val="8"/>
        <color rgb="FF3F3F76"/>
        <rFont val="Aptos Narrow"/>
      </rPr>
      <t>Actions Suivantes:</t>
    </r>
    <r>
      <rPr>
        <sz val="8"/>
        <color rgb="FF3F3F76"/>
        <rFont val="Aptos Narrow"/>
      </rPr>
      <t xml:space="preserve"> Relire le code et demandé chatgpt pour l'aide</t>
    </r>
  </si>
  <si>
    <t xml:space="preserve">Pour le prochain sprint, nous serons beaucoup plus concentrés sur le backend pour la page swipe, ce qui inclut également l'ajout de plusieurs profils dans une page et à partir d'autres serveurs (nous essaierons). Nous nous concentrerons également sur les erreurs à chaque fois qu'il y a un contournement. </t>
  </si>
  <si>
    <t>Nous devons faire beaucoup plus de recherches sur les serveurs de liens et nous avons eu des difficultés à ajouter des photos dans la base de données. Nous devons donc effectuer des recherches pour télécharger l'image.</t>
  </si>
  <si>
    <t>Nous étions plus concentrés sur notre tache cette fois-ci et la vitesse était plus élevée.</t>
  </si>
  <si>
    <t xml:space="preserve">En raison de la diversité des tâches, la communication doit encore être améliorée pour que chacun puisse s'entraider dans chacune d'entre elles. Mais nous communiquons toujours en termes d'idées et de ce qu'une personne devrait faire. </t>
  </si>
  <si>
    <t>Même si la communication s'est améliorée. Il est toujours important que nous commencions à travailler ensemble sur le même aspect si c'est une tâche difficile de rendre une page parfaite et fonctionnelle.</t>
  </si>
  <si>
    <t>Jusqu'à présent, tout va bien avec ce sprint, la seule chose que nous devons améliorer est de trouver le temps de travailler ensemble en dehors des cours.</t>
  </si>
  <si>
    <t>Objectif de sprint: Commencer la fonctionnalite de swipe et details des autres pages</t>
  </si>
  <si>
    <t>x</t>
  </si>
  <si>
    <t>Implementer Node mailer (envoyer recu de courriel)</t>
  </si>
  <si>
    <t>Fix inscription (connexion de l'utilisateur lorsqu'il s'inscris automatique)</t>
  </si>
  <si>
    <t>Conecption UI de la page swipe</t>
  </si>
  <si>
    <t>connexion google/facebooc/apple/twitter</t>
  </si>
  <si>
    <t>changer page inscription pour pouvoir utiliser algorithme de mathcing</t>
  </si>
  <si>
    <t>changer ui page inscription</t>
  </si>
  <si>
    <t>ajouter personnalisation de page profil</t>
  </si>
  <si>
    <t>proteger les données du payement</t>
  </si>
  <si>
    <t xml:space="preserve"> </t>
  </si>
  <si>
    <t>1 (15 octobre)</t>
  </si>
  <si>
    <t>2 (17 octobre)</t>
  </si>
  <si>
    <t>3 (22 octobre)</t>
  </si>
  <si>
    <t>4 (24 octobre)</t>
  </si>
  <si>
    <r>
      <rPr>
        <b/>
        <sz val="10"/>
        <color rgb="FF3F3F76"/>
        <rFont val="Aptos Narrow"/>
        <scheme val="minor"/>
      </rPr>
      <t>Progrès accomplis:</t>
    </r>
    <r>
      <rPr>
        <sz val="10"/>
        <color rgb="FF3F3F76"/>
        <rFont val="Aptos Narrow"/>
        <scheme val="minor"/>
      </rPr>
      <t xml:space="preserve">  Fix donnée nulle                                      </t>
    </r>
    <r>
      <rPr>
        <b/>
        <sz val="10"/>
        <color rgb="FF3F3F76"/>
        <rFont val="Aptos Narrow"/>
        <scheme val="minor"/>
      </rPr>
      <t>Objectifs pour la journée:</t>
    </r>
    <r>
      <rPr>
        <sz val="10"/>
        <color rgb="FF3F3F76"/>
        <rFont val="Aptos Narrow"/>
        <scheme val="minor"/>
      </rPr>
      <t xml:space="preserve"> Conception du page swipe  + stock photo dans le BD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</si>
  <si>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Conception du page swipe(sans les postes), stock photo dans bdd                                                                  </t>
    </r>
    <r>
      <rPr>
        <b/>
        <sz val="10"/>
        <color rgb="FF3F3F76"/>
        <rFont val="Aptos Narrow"/>
        <scheme val="minor"/>
      </rPr>
      <t>Objectifs pour la journée:</t>
    </r>
    <r>
      <rPr>
        <sz val="10"/>
        <color rgb="FF3F3F76"/>
        <rFont val="Aptos Narrow"/>
        <scheme val="minor"/>
      </rPr>
      <t xml:space="preserve">    Commencer page swipe et son UI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</si>
  <si>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Modification de html page inscription                                                      </t>
    </r>
    <r>
      <rPr>
        <b/>
        <sz val="10"/>
        <color rgb="FF3F3F76"/>
        <rFont val="Aptos Narrow"/>
        <scheme val="minor"/>
      </rPr>
      <t>Objectifs pour la journée:</t>
    </r>
    <r>
      <rPr>
        <sz val="10"/>
        <color rgb="FF3F3F76"/>
        <rFont val="Aptos Narrow"/>
        <scheme val="minor"/>
      </rPr>
      <t xml:space="preserve">    Modifier structure page inscription pour pouvoir utiliser algorithme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</si>
  <si>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Fin page inscription  css et js                                                  </t>
    </r>
    <r>
      <rPr>
        <b/>
        <sz val="10"/>
        <color rgb="FF3F3F76"/>
        <rFont val="Aptos Narrow"/>
        <scheme val="minor"/>
      </rPr>
      <t>Objectifs pour la journée:</t>
    </r>
    <r>
      <rPr>
        <sz val="10"/>
        <color rgb="FF3F3F76"/>
        <rFont val="Aptos Narrow"/>
        <scheme val="minor"/>
      </rPr>
      <t xml:space="preserve">    Finaliser UI page inscription (css/js)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</si>
  <si>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t>
    </r>
    <r>
      <rPr>
        <b/>
        <sz val="10"/>
        <color rgb="FF3F3F76"/>
        <rFont val="Aptos Narrow"/>
        <scheme val="minor"/>
      </rPr>
      <t>Objectifs pour la journée:</t>
    </r>
    <r>
      <rPr>
        <sz val="10"/>
        <color rgb="FF3F3F76"/>
        <rFont val="Aptos Narrow"/>
        <scheme val="minor"/>
      </rPr>
      <t xml:space="preserve"> Conception du page swipe et ajout plus ajout de voir l'abonnement dans profile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</si>
  <si>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Conception du page swipe(sans les postes) information d'abonnement de page profil terminer                            </t>
    </r>
    <r>
      <rPr>
        <b/>
        <sz val="10"/>
        <color rgb="FF3F3F76"/>
        <rFont val="Aptos Narrow"/>
        <scheme val="minor"/>
      </rPr>
      <t>Objectifs pour la journée:</t>
    </r>
    <r>
      <rPr>
        <sz val="10"/>
        <color rgb="FF3F3F76"/>
        <rFont val="Aptos Narrow"/>
        <scheme val="minor"/>
      </rPr>
      <t xml:space="preserve">  Ajouter le fonctionnement de changer les details de l'utilisateur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</si>
  <si>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9"/>
        <color rgb="FF3F3F76"/>
        <rFont val="Aptos Narrow"/>
        <scheme val="minor"/>
      </rPr>
      <t>Progrès accomplis:</t>
    </r>
    <r>
      <rPr>
        <sz val="9"/>
        <color rgb="FF3F3F76"/>
        <rFont val="Aptos Narrow"/>
        <scheme val="minor"/>
      </rPr>
      <t xml:space="preserve">Ajouter les fonctionnements de changer les details de l'utilisateur(email,nom etc. )                               </t>
    </r>
    <r>
      <rPr>
        <b/>
        <sz val="9"/>
        <color rgb="FF3F3F76"/>
        <rFont val="Aptos Narrow"/>
        <scheme val="minor"/>
      </rPr>
      <t>Objectifs pour la journée:</t>
    </r>
    <r>
      <rPr>
        <sz val="9"/>
        <color rgb="FF3F3F76"/>
        <rFont val="Aptos Narrow"/>
        <scheme val="minor"/>
      </rPr>
      <t xml:space="preserve"> CSS de profil pour que ca soit plus logique + conecption du "preview profile"  + implement passport facebook + connect direct                                           </t>
    </r>
    <r>
      <rPr>
        <b/>
        <sz val="9"/>
        <color rgb="FF3F3F76"/>
        <rFont val="Aptos Narrow"/>
        <scheme val="minor"/>
      </rPr>
      <t xml:space="preserve">Obstacles rencontrés: </t>
    </r>
    <r>
      <rPr>
        <sz val="9"/>
        <color rgb="FF3F3F76"/>
        <rFont val="Aptos Narrow"/>
        <scheme val="minor"/>
      </rPr>
      <t xml:space="preserve">N/A                        </t>
    </r>
    <r>
      <rPr>
        <b/>
        <sz val="9"/>
        <color rgb="FF3F3F76"/>
        <rFont val="Aptos Narrow"/>
        <scheme val="minor"/>
      </rPr>
      <t>Actions Suivantes:</t>
    </r>
    <r>
      <rPr>
        <sz val="9"/>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</si>
  <si>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Terminer le concept de profile avec le preview + passport implementer  + connect direct                                                       </t>
    </r>
    <r>
      <rPr>
        <b/>
        <sz val="10"/>
        <color rgb="FF3F3F76"/>
        <rFont val="Aptos Narrow"/>
        <scheme val="minor"/>
      </rPr>
      <t xml:space="preserve">Objectifs pour la journée:  </t>
    </r>
    <r>
      <rPr>
        <sz val="10"/>
        <color rgb="FF3F3F76"/>
        <rFont val="Aptos Narrow"/>
        <scheme val="minor"/>
      </rPr>
      <t xml:space="preserve"> l'insertion du base de donnée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</si>
  <si>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Email peut s'envoyer                             </t>
    </r>
    <r>
      <rPr>
        <b/>
        <sz val="10"/>
        <color rgb="FF3F3F76"/>
        <rFont val="Aptos Narrow"/>
        <scheme val="minor"/>
      </rPr>
      <t>Objectifs pour la journée:</t>
    </r>
    <r>
      <rPr>
        <sz val="10"/>
        <color rgb="FF3F3F76"/>
        <rFont val="Aptos Narrow"/>
        <scheme val="minor"/>
      </rPr>
      <t xml:space="preserve"> Conception du page swipe, stock photo dans le BD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</si>
  <si>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Conception du page swipe(sans les postes) et stock photo dans bdd                                                   </t>
    </r>
    <r>
      <rPr>
        <b/>
        <sz val="10"/>
        <color rgb="FF3F3F76"/>
        <rFont val="Aptos Narrow"/>
        <scheme val="minor"/>
      </rPr>
      <t>Objectifs pour la journée:</t>
    </r>
    <r>
      <rPr>
        <sz val="10"/>
        <color rgb="FF3F3F76"/>
        <rFont val="Aptos Narrow"/>
        <scheme val="minor"/>
      </rPr>
      <t xml:space="preserve"> Proteger le donnée du payement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</si>
  <si>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rPr>
      <t>Progrès accomplis:</t>
    </r>
    <r>
      <rPr>
        <sz val="10"/>
        <color rgb="FF3F3F76"/>
        <rFont val="Aptos Narrow"/>
      </rPr>
      <t xml:space="preserve"> Fix l'erreur de payement                                  </t>
    </r>
    <r>
      <rPr>
        <b/>
        <sz val="10"/>
        <color rgb="FF3F3F76"/>
        <rFont val="Aptos Narrow"/>
      </rPr>
      <t>Objectifs pour la journée:</t>
    </r>
    <r>
      <rPr>
        <sz val="10"/>
        <color rgb="FF3F3F76"/>
        <rFont val="Aptos Narrow"/>
      </rPr>
      <t xml:space="preserve">  Implementer pour connexion google   + ReFix le googleAPI + page erreur                                   </t>
    </r>
    <r>
      <rPr>
        <b/>
        <sz val="10"/>
        <color rgb="FF3F3F76"/>
        <rFont val="Aptos Narrow"/>
      </rPr>
      <t xml:space="preserve">Obstacles rencontrés: </t>
    </r>
    <r>
      <rPr>
        <sz val="10"/>
        <color rgb="FF3F3F76"/>
        <rFont val="Aptos Narrow"/>
      </rPr>
      <t xml:space="preserve">N/A                        </t>
    </r>
    <r>
      <rPr>
        <b/>
        <sz val="10"/>
        <color rgb="FF3F3F76"/>
        <rFont val="Aptos Narrow"/>
      </rPr>
      <t>Actions Suivantes:</t>
    </r>
    <r>
      <rPr>
        <sz val="10"/>
        <color rgb="FF3F3F76"/>
        <rFont val="Aptos Narrow"/>
      </rPr>
      <t xml:space="preserve"> N/A</t>
    </r>
  </si>
  <si>
    <r>
      <rPr>
        <b/>
        <sz val="10"/>
        <color rgb="FF3F3F76"/>
        <rFont val="Aptos Narrow"/>
        <scheme val="minor"/>
      </rPr>
      <t>Progrès accomplis:</t>
    </r>
    <r>
      <rPr>
        <sz val="10"/>
        <color rgb="FF3F3F76"/>
        <rFont val="Aptos Narrow"/>
        <scheme val="minor"/>
      </rPr>
      <t xml:space="preserve">  Implementer le passport google + changer les TOKEN + terminer page erreur                        </t>
    </r>
    <r>
      <rPr>
        <b/>
        <sz val="10"/>
        <color rgb="FF3F3F76"/>
        <rFont val="Aptos Narrow"/>
        <scheme val="minor"/>
      </rPr>
      <t>Objectifs pour la journée:</t>
    </r>
    <r>
      <rPr>
        <sz val="10"/>
        <color rgb="FF3F3F76"/>
        <rFont val="Aptos Narrow"/>
        <scheme val="minor"/>
      </rPr>
      <t xml:space="preserve">  Insert l'information dans le BD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</si>
  <si>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t>Focus sur les insertions des bases de données et de faire tout parfait et potentiellement commencé page swipe</t>
  </si>
  <si>
    <t>n/a</t>
  </si>
  <si>
    <t>Travaille d'équipe, taches completer, on a bien gerer le temps</t>
  </si>
  <si>
    <t>De terminer un code avant de commencer l'autre ou de laisser un code qu'on peut faire après pour quelque chose plus important</t>
  </si>
  <si>
    <t>De parler plus entre nous et de travaille en dehors du cours pour completer plus de taches</t>
  </si>
  <si>
    <t>On a utilisé les réseaux sociaux + travaille plus chez nous</t>
  </si>
  <si>
    <t>Objectif de sprint: modifier bdd, continuer page swipe et ajouter connexions externes</t>
  </si>
  <si>
    <t>Modification de la base de données</t>
  </si>
  <si>
    <t>Création de la table pour les photos</t>
  </si>
  <si>
    <t>Modifier table des préferences</t>
  </si>
  <si>
    <t>Modification des pages (html/css/js)</t>
  </si>
  <si>
    <t>Page swipe</t>
  </si>
  <si>
    <t>Page inscription</t>
  </si>
  <si>
    <t>Page Profile</t>
  </si>
  <si>
    <t>Connexions d'authentification</t>
  </si>
  <si>
    <t>Inserer Google dans la bdd</t>
  </si>
  <si>
    <t>Inserer Facebook dans la bdd</t>
  </si>
  <si>
    <t>Algorithme de matching</t>
  </si>
  <si>
    <r>
      <rPr>
        <b/>
        <sz val="10"/>
        <color rgb="FF3F3F76"/>
        <rFont val="Aptos Narrow"/>
        <scheme val="minor"/>
      </rPr>
      <t>Progrès accomplis:</t>
    </r>
    <r>
      <rPr>
        <sz val="10"/>
        <color rgb="FF3F3F76"/>
        <rFont val="Aptos Narrow"/>
        <scheme val="minor"/>
      </rPr>
      <t xml:space="preserve">  Terminé de modfier la base de données, commencer à travailler sur liaision avec les pages                                     </t>
    </r>
    <r>
      <rPr>
        <b/>
        <sz val="10"/>
        <color rgb="FF3F3F76"/>
        <rFont val="Aptos Narrow"/>
        <scheme val="minor"/>
      </rPr>
      <t>Objectifs pour la journée:</t>
    </r>
    <r>
      <rPr>
        <sz val="10"/>
        <color rgb="FF3F3F76"/>
        <rFont val="Aptos Narrow"/>
        <scheme val="minor"/>
      </rPr>
      <t xml:space="preserve"> Modifier la base de données pour ajouter les préférences, les types de cartes et like                                            </t>
    </r>
  </si>
  <si>
    <r>
      <rPr>
        <b/>
        <sz val="10"/>
        <color rgb="FF3F3F76"/>
        <rFont val="Aptos Narrow"/>
        <scheme val="minor"/>
      </rPr>
      <t>Progrès accomplis:</t>
    </r>
    <r>
      <rPr>
        <sz val="10"/>
        <color rgb="FF3F3F76"/>
        <rFont val="Aptos Narrow"/>
        <scheme val="minor"/>
      </rPr>
      <t xml:space="preserve">   Terminé le travail sur la liaison des pages                                   </t>
    </r>
    <r>
      <rPr>
        <b/>
        <sz val="10"/>
        <color rgb="FF3F3F76"/>
        <rFont val="Aptos Narrow"/>
        <scheme val="minor"/>
      </rPr>
      <t>Objectifs pour la journée:</t>
    </r>
    <r>
      <rPr>
        <sz val="10"/>
        <color rgb="FF3F3F76"/>
        <rFont val="Aptos Narrow"/>
        <scheme val="minor"/>
      </rPr>
      <t xml:space="preserve">   Finir la liaision de la nouvelle version de la base de données avec les pages                                         </t>
    </r>
  </si>
  <si>
    <r>
      <rPr>
        <b/>
        <sz val="10"/>
        <color rgb="FF3F3F76"/>
        <rFont val="Aptos Narrow"/>
        <scheme val="minor"/>
      </rPr>
      <t>Progrès accomplis:</t>
    </r>
    <r>
      <rPr>
        <sz val="10"/>
        <color rgb="FF3F3F76"/>
        <rFont val="Aptos Narrow"/>
        <scheme val="minor"/>
      </rPr>
      <t xml:space="preserve">  Terminé page inscription pour choisir son type                                    </t>
    </r>
    <r>
      <rPr>
        <b/>
        <sz val="10"/>
        <color rgb="FF3F3F76"/>
        <rFont val="Aptos Narrow"/>
        <scheme val="minor"/>
      </rPr>
      <t>Objectifs pour la journée:</t>
    </r>
    <r>
      <rPr>
        <sz val="10"/>
        <color rgb="FF3F3F76"/>
        <rFont val="Aptos Narrow"/>
        <scheme val="minor"/>
      </rPr>
      <t xml:space="preserve">  Modifier page inscription pour pouvoir choisir le type de personne qu'on veut match avec (homme ou femme)                                     </t>
    </r>
  </si>
  <si>
    <r>
      <rPr>
        <b/>
        <sz val="10"/>
        <color rgb="FF3F3F76"/>
        <rFont val="Aptos Narrow"/>
        <scheme val="minor"/>
      </rPr>
      <t>Progrès accomplis:</t>
    </r>
    <r>
      <rPr>
        <sz val="10"/>
        <color rgb="FF3F3F76"/>
        <rFont val="Aptos Narrow"/>
        <scheme val="minor"/>
      </rPr>
      <t xml:space="preserve">  Terminé la page swipe (liaison avc bdd et ajout html/css/js) et trouvé un algorithm de matching qu'on pourrait utiliser.                                    </t>
    </r>
    <r>
      <rPr>
        <b/>
        <sz val="10"/>
        <color rgb="FF3F3F76"/>
        <rFont val="Aptos Narrow"/>
        <scheme val="minor"/>
      </rPr>
      <t>Objectifs pour la journée: Travailler sur la page swipe et faire recherche sur l'algorithme de matching</t>
    </r>
    <r>
      <rPr>
        <sz val="10"/>
        <color rgb="FF3F3F76"/>
        <rFont val="Aptos Narrow"/>
        <scheme val="minor"/>
      </rPr>
      <t xml:space="preserve">                                    </t>
    </r>
  </si>
  <si>
    <r>
      <rPr>
        <b/>
        <sz val="10"/>
        <color rgb="FF3F3F76"/>
        <rFont val="Aptos Narrow"/>
        <scheme val="minor"/>
      </rPr>
      <t>Progrès accomplis:</t>
    </r>
    <r>
      <rPr>
        <sz val="10"/>
        <color rgb="FF3F3F76"/>
        <rFont val="Aptos Narrow"/>
        <scheme val="minor"/>
      </rPr>
      <t xml:space="preserve">   Ajouter les photos dans une nouvelle table                                          </t>
    </r>
    <r>
      <rPr>
        <b/>
        <sz val="10"/>
        <color rgb="FF3F3F76"/>
        <rFont val="Aptos Narrow"/>
        <scheme val="minor"/>
      </rPr>
      <t>Objectifs pour la journée:</t>
    </r>
    <r>
      <rPr>
        <sz val="10"/>
        <color rgb="FF3F3F76"/>
        <rFont val="Aptos Narrow"/>
        <scheme val="minor"/>
      </rPr>
      <t xml:space="preserve">    Utiliser la table des photos pour inserer les photos   que les users ont ajouté et aussi de les montrer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</si>
  <si>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Reussi a montrer les photos d'un user specific                                   </t>
    </r>
    <r>
      <rPr>
        <b/>
        <sz val="10"/>
        <color rgb="FF3F3F76"/>
        <rFont val="Aptos Narrow"/>
        <scheme val="minor"/>
      </rPr>
      <t>Objectifs pour la journée:</t>
    </r>
    <r>
      <rPr>
        <sz val="10"/>
        <color rgb="FF3F3F76"/>
        <rFont val="Aptos Narrow"/>
        <scheme val="minor"/>
      </rPr>
      <t xml:space="preserve">  Modifier la page swipe pour montrer les préferences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</si>
  <si>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Reussi a montré les préferences dans la page swipe                                  </t>
    </r>
    <r>
      <rPr>
        <b/>
        <sz val="10"/>
        <color rgb="FF3F3F76"/>
        <rFont val="Aptos Narrow"/>
        <scheme val="minor"/>
      </rPr>
      <t>Objectifs pour la journée:</t>
    </r>
    <r>
      <rPr>
        <sz val="10"/>
        <color rgb="FF3F3F76"/>
        <rFont val="Aptos Narrow"/>
        <scheme val="minor"/>
      </rPr>
      <t xml:space="preserve">  Connecter avec le passport de google et en inserant les données dans la base de donnée. Créer une page pour completer l'inscription avec google.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</si>
  <si>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Réussi a ce connecter avec google et aussi en inserant les données dans la base de donnée avec la nouvelle page pour completer l'inscription. Également de delete les comptes a cause des foreign key qui a blocker le commande delete                                                 </t>
    </r>
    <r>
      <rPr>
        <b/>
        <sz val="10"/>
        <color rgb="FF3F3F76"/>
        <rFont val="Aptos Narrow"/>
        <scheme val="minor"/>
      </rPr>
      <t>Objectifs pour la journée:</t>
    </r>
    <r>
      <rPr>
        <sz val="10"/>
        <color rgb="FF3F3F76"/>
        <rFont val="Aptos Narrow"/>
        <scheme val="minor"/>
      </rPr>
      <t xml:space="preserve">   Fix accueil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</si>
  <si>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Creation du table de e_photo et ajouter les photos dans la table                                     </t>
    </r>
    <r>
      <rPr>
        <b/>
        <sz val="10"/>
        <color rgb="FF3F3F76"/>
        <rFont val="Aptos Narrow"/>
        <scheme val="minor"/>
      </rPr>
      <t xml:space="preserve">Objectifs pour la journée: </t>
    </r>
    <r>
      <rPr>
        <sz val="10"/>
        <color rgb="FF3F3F76"/>
        <rFont val="Aptos Narrow"/>
        <scheme val="minor"/>
      </rPr>
      <t xml:space="preserve"> Fonctionalité de delete et de montrer les photos ajouter dans la page profile.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</si>
  <si>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Fonctionalité de delete. Ca montre les photos qui sont ajouter dans la page                          </t>
    </r>
    <r>
      <rPr>
        <b/>
        <sz val="10"/>
        <color rgb="FF3F3F76"/>
        <rFont val="Aptos Narrow"/>
        <scheme val="minor"/>
      </rPr>
      <t>Objectifs pour la journée:</t>
    </r>
    <r>
      <rPr>
        <sz val="10"/>
        <color rgb="FF3F3F76"/>
        <rFont val="Aptos Narrow"/>
        <scheme val="minor"/>
      </rPr>
      <t xml:space="preserve">  Modifier la base de données pour le préference et d'ajouter durant l'inscription dedans  et ajout swipe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</si>
  <si>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Modifier la base de donnée en ajouter les cartes et likes. Réussi a ajouter les préferences des users dans la base de donné  et de les montrés dans la page profile et ajout swipe                                                 </t>
    </r>
    <r>
      <rPr>
        <b/>
        <sz val="10"/>
        <color rgb="FF3F3F76"/>
        <rFont val="Aptos Narrow"/>
        <scheme val="minor"/>
      </rPr>
      <t>Objectifs pour la journée:</t>
    </r>
    <r>
      <rPr>
        <sz val="10"/>
        <color rgb="FF3F3F76"/>
        <rFont val="Aptos Narrow"/>
        <scheme val="minor"/>
      </rPr>
      <t xml:space="preserve"> Faire le matching pour le page swipe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</si>
  <si>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r>
      <rPr>
        <b/>
        <sz val="10"/>
        <color rgb="FF3F3F76"/>
        <rFont val="Aptos Narrow"/>
        <scheme val="minor"/>
      </rPr>
      <t>Progrès accomplis:</t>
    </r>
    <r>
      <rPr>
        <sz val="10"/>
        <color rgb="FF3F3F76"/>
        <rFont val="Aptos Narrow"/>
        <scheme val="minor"/>
      </rPr>
      <t xml:space="preserve"> Ajouter les tables dans la bdd de likes et matches pour reussir a match les users. De plus filterer les cartes pour que le users vois seulement les cartes qu'ils ont choisis                                                     </t>
    </r>
    <r>
      <rPr>
        <b/>
        <sz val="10"/>
        <color rgb="FF3F3F76"/>
        <rFont val="Aptos Narrow"/>
        <scheme val="minor"/>
      </rPr>
      <t>Objectifs pour la journée:</t>
    </r>
    <r>
      <rPr>
        <sz val="10"/>
        <color rgb="FF3F3F76"/>
        <rFont val="Aptos Narrow"/>
        <scheme val="minor"/>
      </rPr>
      <t xml:space="preserve">  Filter genre et prioriser les likes dans la page swipe                                                   </t>
    </r>
    <r>
      <rPr>
        <b/>
        <sz val="10"/>
        <color rgb="FF3F3F76"/>
        <rFont val="Aptos Narrow"/>
        <scheme val="minor"/>
      </rPr>
      <t xml:space="preserve">Obstacles rencontrés: </t>
    </r>
    <r>
      <rPr>
        <sz val="10"/>
        <color rgb="FF3F3F76"/>
        <rFont val="Aptos Narrow"/>
        <scheme val="minor"/>
      </rPr>
      <t xml:space="preserve">N/A                        </t>
    </r>
    <r>
      <rPr>
        <b/>
        <sz val="10"/>
        <color rgb="FF3F3F76"/>
        <rFont val="Aptos Narrow"/>
        <scheme val="minor"/>
      </rPr>
      <t>Actions Suivantes:</t>
    </r>
    <r>
      <rPr>
        <sz val="10"/>
        <color rgb="FF3F3F76"/>
        <rFont val="Aptos Narrow"/>
        <scheme val="minor"/>
      </rPr>
      <t xml:space="preserve"> N/A</t>
    </r>
  </si>
  <si>
    <t xml:space="preserve">BUG : lorsqu'on choisit la sexualité dans la page inscription, le choix de la carte s'enleve </t>
  </si>
  <si>
    <t>accomplis tous nos tâches et récits tout en divisant le travail, puisqu'on a travaillé d'une façon productive, la plupart des tâches ont été accomplies dans un cour temps de cycle</t>
  </si>
  <si>
    <t>Ajouter plus de tâches à accomplir en un sprint</t>
  </si>
  <si>
    <t>on va devoir essayer de travailler plus efficacement en classe, en gerant notre temps efficacement avec une personne désignée qui va tenir compte du temps</t>
  </si>
  <si>
    <t>On a plus travaillé hors des cours donc on a été capables d'accomplir beaucoup de tâches et avancer notre projet grandement</t>
  </si>
  <si>
    <t>Style des pages</t>
  </si>
  <si>
    <t xml:space="preserve">page profil </t>
  </si>
  <si>
    <t xml:space="preserve">page inscription </t>
  </si>
  <si>
    <t>page accueil</t>
  </si>
  <si>
    <t>page swipe</t>
  </si>
  <si>
    <t>finir la page inscription google</t>
  </si>
  <si>
    <t>Fonctionalités</t>
  </si>
  <si>
    <t>changer photo de profil (page profil)</t>
  </si>
  <si>
    <t>rediriger vers inscription lors du choix d'une carte (page accueil)</t>
  </si>
  <si>
    <t>faire le kilometrage selon la localisation (page swipe avec API)</t>
  </si>
  <si>
    <t>effecctuer les match lorsque deux profils se like (page swipe)</t>
  </si>
  <si>
    <t>vérifier les photos des personnes avec leurs ID (API, page inscription)</t>
  </si>
  <si>
    <t>bugfix créer profil</t>
  </si>
  <si>
    <r>
      <rPr>
        <b/>
        <sz val="10"/>
        <color rgb="FF3F3F76"/>
        <rFont val="Aptos Narrow"/>
      </rPr>
      <t>Progrès accomplis:</t>
    </r>
    <r>
      <rPr>
        <sz val="10"/>
        <color rgb="FF3F3F76"/>
        <rFont val="Aptos Narrow"/>
      </rPr>
      <t xml:space="preserve">                                          </t>
    </r>
    <r>
      <rPr>
        <b/>
        <sz val="10"/>
        <color rgb="FF3F3F76"/>
        <rFont val="Aptos Narrow"/>
      </rPr>
      <t>Objectifs pour la journée:</t>
    </r>
    <r>
      <rPr>
        <sz val="10"/>
        <color rgb="FF3F3F76"/>
        <rFont val="Aptos Narrow"/>
      </rPr>
      <t xml:space="preserve">                                </t>
    </r>
    <r>
      <rPr>
        <b/>
        <sz val="10"/>
        <color rgb="FF3F3F76"/>
        <rFont val="Aptos Narrow"/>
      </rPr>
      <t xml:space="preserve">Obstacles rencontrés: </t>
    </r>
    <r>
      <rPr>
        <sz val="10"/>
        <color rgb="FF3F3F76"/>
        <rFont val="Aptos Narrow"/>
      </rPr>
      <t xml:space="preserve">N/A                        </t>
    </r>
    <r>
      <rPr>
        <b/>
        <sz val="10"/>
        <color rgb="FF3F3F76"/>
        <rFont val="Aptos Narrow"/>
      </rPr>
      <t>Actions Suivantes:</t>
    </r>
    <r>
      <rPr>
        <sz val="10"/>
        <color rgb="FF3F3F76"/>
        <rFont val="Aptos Narrow"/>
      </rPr>
      <t xml:space="preserve"> 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</si>
</sst>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3"/>
      <color theme="3"/>
      <name val="Aptos Narrow"/>
      <family val="2"/>
      <scheme val="minor"/>
    </font>
    <font>
      <b/>
      <sz val="11"/>
      <color theme="3"/>
      <name val="Aptos Narrow"/>
      <family val="2"/>
      <scheme val="minor"/>
    </font>
    <font>
      <sz val="11"/>
      <color rgb="FF3F3F76"/>
      <name val="Aptos Narrow"/>
      <family val="2"/>
      <scheme val="minor"/>
    </font>
    <font>
      <b/>
      <sz val="11"/>
      <color rgb="FFFA7D00"/>
      <name val="Aptos Narrow"/>
      <family val="2"/>
      <scheme val="minor"/>
    </font>
    <font>
      <b/>
      <sz val="11"/>
      <color theme="1"/>
      <name val="Aptos Narrow"/>
      <family val="2"/>
      <scheme val="minor"/>
    </font>
    <font>
      <sz val="9"/>
      <color indexed="81"/>
      <name val="Tahoma"/>
      <family val="2"/>
    </font>
    <font>
      <sz val="10"/>
      <color rgb="FF3F3F76"/>
      <name val="Aptos Narrow"/>
      <family val="2"/>
      <scheme val="minor"/>
    </font>
    <font>
      <sz val="11"/>
      <color rgb="FF3F3F76"/>
      <name val="Aptos Narrow"/>
      <family val="2"/>
    </font>
    <font>
      <b/>
      <sz val="10"/>
      <color rgb="FF3F3F76"/>
      <name val="Aptos Narrow"/>
      <family val="2"/>
      <scheme val="minor"/>
    </font>
    <font>
      <b/>
      <sz val="11"/>
      <color rgb="FF3F3F76"/>
      <name val="Aptos Narrow"/>
      <family val="2"/>
      <scheme val="minor"/>
    </font>
    <font>
      <b/>
      <sz val="9"/>
      <color rgb="FF3F3F76"/>
      <name val="Aptos Narrow"/>
      <family val="2"/>
    </font>
    <font>
      <sz val="9"/>
      <color rgb="FF3F3F76"/>
      <name val="Aptos Narrow"/>
      <family val="2"/>
    </font>
    <font>
      <sz val="9"/>
      <color rgb="FF3F3F76"/>
      <name val="Aptos Narrow"/>
      <family val="2"/>
      <scheme val="minor"/>
    </font>
    <font>
      <b/>
      <sz val="9"/>
      <color rgb="FF3F3F76"/>
      <name val="Aptos Narrow"/>
      <family val="2"/>
      <scheme val="minor"/>
    </font>
    <font>
      <sz val="8"/>
      <name val="Aptos Narrow"/>
      <family val="2"/>
      <scheme val="minor"/>
    </font>
    <font>
      <sz val="9"/>
      <color theme="1"/>
      <name val="Aptos Narrow"/>
      <family val="2"/>
      <scheme val="minor"/>
    </font>
    <font>
      <b/>
      <sz val="10"/>
      <color rgb="FF3F3F76"/>
      <name val="Aptos Narrow"/>
      <scheme val="minor"/>
    </font>
    <font>
      <sz val="10"/>
      <color rgb="FF3F3F76"/>
      <name val="Aptos Narrow"/>
      <scheme val="minor"/>
    </font>
    <font>
      <b/>
      <sz val="10"/>
      <color rgb="FF3F3F76"/>
      <name val="Aptos Narrow"/>
    </font>
    <font>
      <sz val="10"/>
      <color rgb="FF3F3F76"/>
      <name val="Aptos Narrow"/>
    </font>
    <font>
      <sz val="11"/>
      <color rgb="FFFF0000"/>
      <name val="Aptos Narrow"/>
      <family val="2"/>
      <scheme val="minor"/>
    </font>
    <font>
      <b/>
      <sz val="8"/>
      <color rgb="FF3F3F76"/>
      <name val="Aptos Narrow"/>
    </font>
    <font>
      <sz val="8"/>
      <color rgb="FF3F3F76"/>
      <name val="Aptos Narrow"/>
    </font>
    <font>
      <b/>
      <sz val="9"/>
      <color rgb="FF3F3F76"/>
      <name val="Aptos Narrow"/>
      <scheme val="minor"/>
    </font>
    <font>
      <sz val="9"/>
      <color rgb="FF3F3F76"/>
      <name val="Aptos Narrow"/>
      <scheme val="minor"/>
    </font>
    <font>
      <sz val="11"/>
      <color rgb="FF000000"/>
      <name val="Aptos Narrow"/>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rgb="FFFFFF00"/>
        <bgColor indexed="64"/>
      </patternFill>
    </fill>
  </fills>
  <borders count="8">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3" applyNumberFormat="0" applyAlignment="0" applyProtection="0"/>
    <xf numFmtId="0" fontId="4" fillId="3" borderId="3" applyNumberFormat="0" applyAlignment="0" applyProtection="0"/>
  </cellStyleXfs>
  <cellXfs count="43">
    <xf numFmtId="0" fontId="0" fillId="0" borderId="0" xfId="0"/>
    <xf numFmtId="0" fontId="3" fillId="2" borderId="3" xfId="3"/>
    <xf numFmtId="0" fontId="0" fillId="0" borderId="0" xfId="0" applyAlignment="1">
      <alignment horizontal="center"/>
    </xf>
    <xf numFmtId="0" fontId="3" fillId="2" borderId="3" xfId="3" applyAlignment="1">
      <alignment horizontal="center"/>
    </xf>
    <xf numFmtId="9" fontId="3" fillId="2" borderId="3" xfId="3" applyNumberFormat="1" applyAlignment="1">
      <alignment horizontal="center"/>
    </xf>
    <xf numFmtId="0" fontId="4" fillId="3" borderId="3" xfId="4"/>
    <xf numFmtId="9" fontId="4" fillId="3" borderId="3" xfId="4" applyNumberFormat="1"/>
    <xf numFmtId="0" fontId="3" fillId="2" borderId="4" xfId="3" applyBorder="1"/>
    <xf numFmtId="0" fontId="1" fillId="0" borderId="1" xfId="1"/>
    <xf numFmtId="0" fontId="2" fillId="0" borderId="2" xfId="2"/>
    <xf numFmtId="0" fontId="0" fillId="0" borderId="0" xfId="0" applyAlignment="1">
      <alignment vertical="top"/>
    </xf>
    <xf numFmtId="0" fontId="7" fillId="2" borderId="3" xfId="3" applyFont="1" applyAlignment="1">
      <alignment vertical="top" wrapText="1"/>
    </xf>
    <xf numFmtId="0" fontId="10" fillId="2" borderId="3" xfId="3" applyFont="1" applyAlignment="1">
      <alignment vertical="top" wrapText="1"/>
    </xf>
    <xf numFmtId="0" fontId="8" fillId="2" borderId="3" xfId="3" applyFont="1" applyAlignment="1">
      <alignment horizontal="center" vertical="center" wrapText="1"/>
    </xf>
    <xf numFmtId="0" fontId="3" fillId="2" borderId="3" xfId="3" applyAlignment="1">
      <alignment horizontal="center" vertical="center" wrapText="1"/>
    </xf>
    <xf numFmtId="0" fontId="12" fillId="2" borderId="3" xfId="3" applyFont="1" applyAlignment="1">
      <alignment vertical="top" wrapText="1"/>
    </xf>
    <xf numFmtId="0" fontId="3" fillId="2" borderId="3" xfId="3" applyAlignment="1">
      <alignment horizontal="right"/>
    </xf>
    <xf numFmtId="0" fontId="13" fillId="2" borderId="3" xfId="3" applyFont="1" applyAlignment="1">
      <alignment vertical="top" wrapText="1"/>
    </xf>
    <xf numFmtId="0" fontId="7" fillId="2" borderId="3" xfId="3" applyFont="1" applyAlignment="1">
      <alignment wrapText="1"/>
    </xf>
    <xf numFmtId="0" fontId="3" fillId="2" borderId="3" xfId="3" applyAlignment="1">
      <alignment vertical="top" wrapText="1"/>
    </xf>
    <xf numFmtId="0" fontId="16" fillId="0" borderId="0" xfId="0" applyFont="1"/>
    <xf numFmtId="0" fontId="18" fillId="2" borderId="3" xfId="3" applyFont="1" applyAlignment="1">
      <alignment vertical="top" wrapText="1"/>
    </xf>
    <xf numFmtId="0" fontId="20" fillId="2" borderId="3" xfId="3" applyFont="1" applyAlignment="1">
      <alignment vertical="top" wrapText="1"/>
    </xf>
    <xf numFmtId="0" fontId="0" fillId="4" borderId="0" xfId="0" applyFill="1"/>
    <xf numFmtId="0" fontId="21" fillId="0" borderId="0" xfId="0" applyFont="1"/>
    <xf numFmtId="0" fontId="3" fillId="2" borderId="6" xfId="3" applyBorder="1" applyAlignment="1">
      <alignment horizontal="left" vertical="top"/>
    </xf>
    <xf numFmtId="0" fontId="3" fillId="2" borderId="7" xfId="3" applyBorder="1" applyAlignment="1">
      <alignment horizontal="left" vertical="top"/>
    </xf>
    <xf numFmtId="0" fontId="3" fillId="2" borderId="5" xfId="3" applyBorder="1" applyAlignment="1">
      <alignment horizontal="left" vertical="top"/>
    </xf>
    <xf numFmtId="0" fontId="23" fillId="2" borderId="3" xfId="3" applyFont="1" applyAlignment="1">
      <alignment vertical="top" wrapText="1"/>
    </xf>
    <xf numFmtId="0" fontId="25" fillId="2" borderId="3" xfId="3" applyFont="1" applyAlignment="1">
      <alignment vertical="top" wrapText="1"/>
    </xf>
    <xf numFmtId="0" fontId="26" fillId="0" borderId="0" xfId="0" applyFont="1"/>
    <xf numFmtId="0" fontId="0" fillId="0" borderId="0" xfId="0" applyAlignment="1">
      <alignment horizontal="left"/>
    </xf>
    <xf numFmtId="0" fontId="3" fillId="2" borderId="6" xfId="3" applyBorder="1" applyAlignment="1">
      <alignment vertical="top"/>
    </xf>
    <xf numFmtId="0" fontId="3" fillId="2" borderId="7" xfId="3" applyBorder="1" applyAlignment="1">
      <alignment vertical="top"/>
    </xf>
    <xf numFmtId="0" fontId="3" fillId="2" borderId="5" xfId="3" applyBorder="1" applyAlignment="1">
      <alignment vertical="top"/>
    </xf>
    <xf numFmtId="0" fontId="5" fillId="0" borderId="0" xfId="0" applyFont="1"/>
    <xf numFmtId="0" fontId="5" fillId="0" borderId="0" xfId="0" applyFont="1" applyAlignment="1">
      <alignment horizontal="center"/>
    </xf>
    <xf numFmtId="0" fontId="3" fillId="2" borderId="6" xfId="3" applyBorder="1" applyAlignment="1">
      <alignment horizontal="left" vertical="top"/>
    </xf>
    <xf numFmtId="0" fontId="3" fillId="2" borderId="7" xfId="3" applyBorder="1" applyAlignment="1">
      <alignment horizontal="left" vertical="top"/>
    </xf>
    <xf numFmtId="0" fontId="3" fillId="2" borderId="5" xfId="3" applyBorder="1" applyAlignment="1">
      <alignment horizontal="left" vertical="top"/>
    </xf>
    <xf numFmtId="0" fontId="7" fillId="2" borderId="6" xfId="3" applyFont="1" applyBorder="1" applyAlignment="1">
      <alignment vertical="top"/>
    </xf>
    <xf numFmtId="0" fontId="7" fillId="2" borderId="7" xfId="3" applyFont="1" applyBorder="1" applyAlignment="1">
      <alignment vertical="top"/>
    </xf>
    <xf numFmtId="0" fontId="7" fillId="2" borderId="5" xfId="3" applyFont="1" applyBorder="1" applyAlignment="1">
      <alignment vertical="top"/>
    </xf>
  </cellXfs>
  <cellStyles count="5">
    <cellStyle name="Calcul" xfId="4" builtinId="22"/>
    <cellStyle name="Entrée" xfId="3" builtinId="20"/>
    <cellStyle name="Normal" xfId="0" builtinId="0"/>
    <cellStyle name="Titre 2" xfId="1" builtinId="17"/>
    <cellStyle name="Titre 3" xfId="2" builtinId="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7C8C-BB64-4187-92AA-6B5ED698724D}">
  <dimension ref="A1:O39"/>
  <sheetViews>
    <sheetView zoomScaleNormal="100" workbookViewId="0">
      <selection activeCell="M28" sqref="M28"/>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1" max="11" width="47.5703125" bestFit="1" customWidth="1"/>
    <col min="12" max="12" width="35.5703125" customWidth="1"/>
    <col min="13" max="13" width="31.7109375" customWidth="1"/>
    <col min="14" max="14" width="26.7109375" customWidth="1"/>
    <col min="15" max="15" width="29.28515625" customWidth="1"/>
  </cols>
  <sheetData>
    <row r="1" spans="1:13" ht="17.25" x14ac:dyDescent="0.3">
      <c r="A1" t="s">
        <v>0</v>
      </c>
      <c r="B1" s="35" t="s">
        <v>1</v>
      </c>
      <c r="C1" s="35"/>
      <c r="D1" s="35"/>
      <c r="E1" s="35"/>
      <c r="F1" s="35"/>
      <c r="G1" s="35"/>
      <c r="H1" s="35"/>
      <c r="I1" s="35"/>
      <c r="K1" s="8" t="s">
        <v>2</v>
      </c>
    </row>
    <row r="2" spans="1:13" x14ac:dyDescent="0.25">
      <c r="K2" t="s">
        <v>3</v>
      </c>
      <c r="L2" s="5">
        <f>AVERAGEIFS(G:G,F:F, "X", B:B, "Récit")</f>
        <v>7</v>
      </c>
    </row>
    <row r="3" spans="1:13" x14ac:dyDescent="0.25">
      <c r="A3" s="2" t="s">
        <v>4</v>
      </c>
      <c r="B3" s="2" t="s">
        <v>5</v>
      </c>
      <c r="C3" s="2" t="s">
        <v>6</v>
      </c>
      <c r="D3" s="2" t="s">
        <v>7</v>
      </c>
      <c r="E3" s="2" t="s">
        <v>8</v>
      </c>
      <c r="F3" s="2" t="s">
        <v>9</v>
      </c>
      <c r="G3" s="2" t="s">
        <v>10</v>
      </c>
      <c r="H3" s="2" t="s">
        <v>11</v>
      </c>
      <c r="K3" t="s">
        <v>12</v>
      </c>
      <c r="L3" s="5">
        <f>AVERAGEIFS(G:G,F:F, "X", B:B, "Tâche")</f>
        <v>1.5</v>
      </c>
    </row>
    <row r="4" spans="1:13" x14ac:dyDescent="0.25">
      <c r="A4" t="s">
        <v>13</v>
      </c>
      <c r="B4" s="3" t="s">
        <v>14</v>
      </c>
      <c r="C4" s="4"/>
      <c r="D4" s="4"/>
      <c r="E4" s="4"/>
      <c r="F4" s="3" t="s">
        <v>15</v>
      </c>
      <c r="G4" s="16">
        <f>SUM(G6:G11)</f>
        <v>8</v>
      </c>
      <c r="H4" s="16">
        <f>SUM(H6:H11)</f>
        <v>11</v>
      </c>
      <c r="K4" t="s">
        <v>16</v>
      </c>
      <c r="L4" s="5">
        <f>COUNTIFS(F:F, "X", B:B, "Récit")</f>
        <v>2</v>
      </c>
    </row>
    <row r="5" spans="1:13" x14ac:dyDescent="0.25">
      <c r="A5" t="s">
        <v>17</v>
      </c>
      <c r="B5" s="3" t="s">
        <v>18</v>
      </c>
      <c r="C5" s="4"/>
      <c r="D5" s="4"/>
      <c r="E5" s="4"/>
      <c r="F5" s="3" t="s">
        <v>15</v>
      </c>
      <c r="G5" s="1">
        <f>SUM(G6:G10)</f>
        <v>7</v>
      </c>
      <c r="H5" s="1">
        <f>SUM(H6:H10)</f>
        <v>10</v>
      </c>
      <c r="K5" t="s">
        <v>19</v>
      </c>
      <c r="L5" s="5">
        <f>COUNTIFS(F:F, "X", B:B, "Tâche")</f>
        <v>10</v>
      </c>
    </row>
    <row r="6" spans="1:13" x14ac:dyDescent="0.25">
      <c r="A6" t="s">
        <v>20</v>
      </c>
      <c r="B6" s="3" t="s">
        <v>21</v>
      </c>
      <c r="C6" s="4">
        <v>0.5</v>
      </c>
      <c r="D6" s="4">
        <v>0.25</v>
      </c>
      <c r="E6" s="4">
        <v>0.25</v>
      </c>
      <c r="F6" s="3" t="s">
        <v>15</v>
      </c>
      <c r="G6" s="1">
        <v>1</v>
      </c>
      <c r="H6" s="1">
        <v>1</v>
      </c>
    </row>
    <row r="7" spans="1:13" x14ac:dyDescent="0.25">
      <c r="A7" t="s">
        <v>22</v>
      </c>
      <c r="B7" s="3" t="s">
        <v>21</v>
      </c>
      <c r="C7" s="4">
        <v>1</v>
      </c>
      <c r="D7" s="4"/>
      <c r="E7" s="4"/>
      <c r="F7" s="3" t="s">
        <v>15</v>
      </c>
      <c r="G7" s="1">
        <v>2</v>
      </c>
      <c r="H7" s="1">
        <v>3</v>
      </c>
      <c r="K7" s="9" t="s">
        <v>23</v>
      </c>
    </row>
    <row r="8" spans="1:13" x14ac:dyDescent="0.25">
      <c r="A8" t="s">
        <v>24</v>
      </c>
      <c r="B8" s="3" t="s">
        <v>21</v>
      </c>
      <c r="C8" s="4">
        <v>1</v>
      </c>
      <c r="D8" s="4"/>
      <c r="E8" s="4"/>
      <c r="F8" s="3" t="s">
        <v>15</v>
      </c>
      <c r="G8" s="1">
        <v>2</v>
      </c>
      <c r="H8" s="1">
        <v>2</v>
      </c>
      <c r="K8" t="s">
        <v>25</v>
      </c>
      <c r="L8" s="5">
        <f>COUNTIF(B:B,"Récit")</f>
        <v>2</v>
      </c>
    </row>
    <row r="9" spans="1:13" x14ac:dyDescent="0.25">
      <c r="A9" t="s">
        <v>26</v>
      </c>
      <c r="B9" s="3" t="s">
        <v>21</v>
      </c>
      <c r="C9" s="4"/>
      <c r="D9" s="4">
        <v>1</v>
      </c>
      <c r="E9" s="4">
        <v>0</v>
      </c>
      <c r="F9" s="3" t="s">
        <v>15</v>
      </c>
      <c r="G9" s="1">
        <v>1</v>
      </c>
      <c r="H9" s="1">
        <v>2</v>
      </c>
      <c r="K9" t="s">
        <v>27</v>
      </c>
      <c r="L9" s="5">
        <f>COUNTIF(B:B, "Tâche")</f>
        <v>10</v>
      </c>
    </row>
    <row r="10" spans="1:13" x14ac:dyDescent="0.25">
      <c r="A10" t="s">
        <v>28</v>
      </c>
      <c r="B10" s="3" t="s">
        <v>21</v>
      </c>
      <c r="C10" s="4"/>
      <c r="D10" s="4"/>
      <c r="E10" s="4">
        <v>1</v>
      </c>
      <c r="F10" s="3" t="s">
        <v>15</v>
      </c>
      <c r="G10" s="1">
        <v>1</v>
      </c>
      <c r="H10" s="1">
        <v>2</v>
      </c>
    </row>
    <row r="11" spans="1:13" x14ac:dyDescent="0.25">
      <c r="A11" t="s">
        <v>29</v>
      </c>
      <c r="B11" s="3" t="s">
        <v>21</v>
      </c>
      <c r="C11" s="4">
        <v>0.25</v>
      </c>
      <c r="D11" s="4">
        <v>0.75</v>
      </c>
      <c r="E11" s="4"/>
      <c r="F11" s="3" t="s">
        <v>15</v>
      </c>
      <c r="G11" s="1">
        <v>1</v>
      </c>
      <c r="H11" s="1">
        <v>1</v>
      </c>
      <c r="K11" t="s">
        <v>30</v>
      </c>
      <c r="L11" s="6">
        <f>L4/L8</f>
        <v>1</v>
      </c>
    </row>
    <row r="12" spans="1:13" x14ac:dyDescent="0.25">
      <c r="A12" t="s">
        <v>31</v>
      </c>
      <c r="B12" s="3" t="s">
        <v>18</v>
      </c>
      <c r="C12" s="4">
        <v>0.5</v>
      </c>
      <c r="D12" s="4">
        <v>0.5</v>
      </c>
      <c r="E12" s="4"/>
      <c r="F12" s="3" t="s">
        <v>15</v>
      </c>
      <c r="G12" s="1">
        <f>SUM(G13:G16)</f>
        <v>7</v>
      </c>
      <c r="H12" s="1">
        <f>SUM(H13:H16)</f>
        <v>5</v>
      </c>
      <c r="K12" t="s">
        <v>32</v>
      </c>
      <c r="L12" s="6">
        <f>L5/L9</f>
        <v>1</v>
      </c>
    </row>
    <row r="13" spans="1:13" x14ac:dyDescent="0.25">
      <c r="A13" t="s">
        <v>33</v>
      </c>
      <c r="B13" s="3" t="s">
        <v>21</v>
      </c>
      <c r="C13" s="4">
        <v>0.5</v>
      </c>
      <c r="D13" s="4">
        <v>0.5</v>
      </c>
      <c r="E13" s="4"/>
      <c r="F13" s="3" t="s">
        <v>15</v>
      </c>
      <c r="G13" s="1">
        <v>1</v>
      </c>
      <c r="H13" s="1">
        <v>1</v>
      </c>
    </row>
    <row r="14" spans="1:13" x14ac:dyDescent="0.25">
      <c r="A14" t="s">
        <v>34</v>
      </c>
      <c r="B14" s="3" t="s">
        <v>21</v>
      </c>
      <c r="C14" s="4"/>
      <c r="D14" s="4">
        <v>0.5</v>
      </c>
      <c r="E14" s="4">
        <v>0.5</v>
      </c>
      <c r="F14" s="3" t="s">
        <v>15</v>
      </c>
      <c r="G14" s="1">
        <v>1</v>
      </c>
      <c r="H14" s="1">
        <v>1</v>
      </c>
      <c r="K14" s="9" t="s">
        <v>35</v>
      </c>
    </row>
    <row r="15" spans="1:13" x14ac:dyDescent="0.25">
      <c r="A15" t="s">
        <v>36</v>
      </c>
      <c r="B15" s="3" t="s">
        <v>21</v>
      </c>
      <c r="C15" s="4">
        <v>0</v>
      </c>
      <c r="D15" s="4">
        <v>0</v>
      </c>
      <c r="E15" s="4">
        <v>1</v>
      </c>
      <c r="F15" s="3" t="s">
        <v>15</v>
      </c>
      <c r="G15" s="1">
        <v>3</v>
      </c>
      <c r="H15" s="1">
        <v>1</v>
      </c>
      <c r="K15" t="s">
        <v>6</v>
      </c>
      <c r="L15" s="5">
        <f>SUMIFS(C:C,F:F,"X")</f>
        <v>3.75</v>
      </c>
      <c r="M15" s="6">
        <f>L15/SUM($L$15:$L$17)</f>
        <v>0.34090909090909088</v>
      </c>
    </row>
    <row r="16" spans="1:13" x14ac:dyDescent="0.25">
      <c r="A16" t="s">
        <v>37</v>
      </c>
      <c r="B16" s="3" t="s">
        <v>21</v>
      </c>
      <c r="C16" s="4">
        <v>0</v>
      </c>
      <c r="D16" s="4">
        <v>0</v>
      </c>
      <c r="E16" s="4">
        <v>1</v>
      </c>
      <c r="F16" s="3" t="s">
        <v>15</v>
      </c>
      <c r="G16" s="1">
        <v>2</v>
      </c>
      <c r="H16" s="1">
        <v>2</v>
      </c>
      <c r="K16" t="s">
        <v>7</v>
      </c>
      <c r="L16" s="5">
        <f>SUMIFS(D:D,F:F,"X")</f>
        <v>3.5</v>
      </c>
      <c r="M16" s="6">
        <f>L16/SUM($L$15:$L$18)</f>
        <v>0.31818181818181818</v>
      </c>
    </row>
    <row r="17" spans="11:15" x14ac:dyDescent="0.25">
      <c r="K17" s="10" t="s">
        <v>8</v>
      </c>
      <c r="L17" s="5">
        <f>SUMIFS(E:E,F:F,"X")</f>
        <v>3.75</v>
      </c>
      <c r="M17" s="6">
        <f>L17/SUM($L$15:$L$18)</f>
        <v>0.34090909090909088</v>
      </c>
    </row>
    <row r="20" spans="11:15" ht="17.25" x14ac:dyDescent="0.3">
      <c r="K20" s="8" t="s">
        <v>38</v>
      </c>
    </row>
    <row r="21" spans="11:15" x14ac:dyDescent="0.25">
      <c r="L21" s="36" t="s">
        <v>39</v>
      </c>
      <c r="M21" s="36"/>
      <c r="N21" s="36"/>
      <c r="O21" s="36"/>
    </row>
    <row r="22" spans="11:15" x14ac:dyDescent="0.25">
      <c r="K22" s="9" t="s">
        <v>40</v>
      </c>
      <c r="L22" t="s">
        <v>41</v>
      </c>
      <c r="M22" t="s">
        <v>42</v>
      </c>
      <c r="N22" t="s">
        <v>43</v>
      </c>
      <c r="O22" t="s">
        <v>44</v>
      </c>
    </row>
    <row r="23" spans="11:15" ht="127.15" customHeight="1" x14ac:dyDescent="0.25">
      <c r="K23" s="10" t="s">
        <v>6</v>
      </c>
      <c r="L23" s="11" t="s">
        <v>45</v>
      </c>
      <c r="M23" s="14" t="s">
        <v>46</v>
      </c>
      <c r="N23" s="17" t="s">
        <v>47</v>
      </c>
      <c r="O23" s="18" t="s">
        <v>48</v>
      </c>
    </row>
    <row r="24" spans="11:15" ht="123.6" customHeight="1" x14ac:dyDescent="0.25">
      <c r="K24" s="10" t="s">
        <v>7</v>
      </c>
      <c r="L24" s="12" t="s">
        <v>49</v>
      </c>
      <c r="M24" s="19" t="s">
        <v>50</v>
      </c>
      <c r="N24" s="17" t="s">
        <v>47</v>
      </c>
      <c r="O24" s="18" t="s">
        <v>51</v>
      </c>
    </row>
    <row r="25" spans="11:15" ht="117.75" customHeight="1" x14ac:dyDescent="0.25">
      <c r="K25" s="10" t="s">
        <v>8</v>
      </c>
      <c r="L25" s="13" t="s">
        <v>52</v>
      </c>
      <c r="M25" s="19" t="s">
        <v>53</v>
      </c>
      <c r="N25" s="15" t="s">
        <v>54</v>
      </c>
      <c r="O25" s="19" t="s">
        <v>55</v>
      </c>
    </row>
    <row r="26" spans="11:15" ht="21.75" customHeight="1" x14ac:dyDescent="0.25">
      <c r="K26" t="s">
        <v>56</v>
      </c>
      <c r="L26" s="7" t="s">
        <v>57</v>
      </c>
      <c r="M26" s="7" t="s">
        <v>57</v>
      </c>
      <c r="N26" s="7" t="s">
        <v>57</v>
      </c>
      <c r="O26" s="7" t="s">
        <v>57</v>
      </c>
    </row>
    <row r="27" spans="11:15" x14ac:dyDescent="0.25">
      <c r="K27" t="s">
        <v>58</v>
      </c>
      <c r="L27" s="7" t="s">
        <v>57</v>
      </c>
      <c r="M27" s="7" t="s">
        <v>57</v>
      </c>
      <c r="N27" s="7" t="s">
        <v>57</v>
      </c>
      <c r="O27" s="7" t="s">
        <v>57</v>
      </c>
    </row>
    <row r="30" spans="11:15" x14ac:dyDescent="0.25">
      <c r="K30" s="9" t="s">
        <v>59</v>
      </c>
    </row>
    <row r="31" spans="11:15" ht="44.45" customHeight="1" x14ac:dyDescent="0.25">
      <c r="K31" s="10" t="s">
        <v>60</v>
      </c>
      <c r="L31" s="37" t="s">
        <v>61</v>
      </c>
      <c r="M31" s="38"/>
      <c r="N31" s="38"/>
      <c r="O31" s="39"/>
    </row>
    <row r="32" spans="11:15" ht="45" customHeight="1" x14ac:dyDescent="0.25">
      <c r="K32" s="10" t="s">
        <v>62</v>
      </c>
      <c r="L32" s="32" t="s">
        <v>63</v>
      </c>
      <c r="M32" s="33"/>
      <c r="N32" s="33"/>
      <c r="O32" s="34"/>
    </row>
    <row r="34" spans="11:15" x14ac:dyDescent="0.25">
      <c r="K34" s="9" t="s">
        <v>64</v>
      </c>
    </row>
    <row r="35" spans="11:15" ht="31.15" customHeight="1" x14ac:dyDescent="0.25">
      <c r="K35" s="10" t="s">
        <v>65</v>
      </c>
      <c r="L35" s="32" t="s">
        <v>66</v>
      </c>
      <c r="M35" s="33"/>
      <c r="N35" s="33"/>
      <c r="O35" s="34"/>
    </row>
    <row r="36" spans="11:15" ht="30.6" customHeight="1" x14ac:dyDescent="0.25">
      <c r="K36" s="10" t="s">
        <v>67</v>
      </c>
      <c r="L36" s="32" t="s">
        <v>68</v>
      </c>
      <c r="M36" s="33"/>
      <c r="N36" s="33"/>
      <c r="O36" s="34"/>
    </row>
    <row r="37" spans="11:15" ht="31.15" customHeight="1" x14ac:dyDescent="0.25">
      <c r="K37" s="10" t="s">
        <v>69</v>
      </c>
      <c r="L37" s="32" t="s">
        <v>70</v>
      </c>
      <c r="M37" s="33"/>
      <c r="N37" s="33"/>
      <c r="O37" s="34"/>
    </row>
    <row r="38" spans="11:15" x14ac:dyDescent="0.25">
      <c r="K38" s="10"/>
      <c r="L38" s="10"/>
      <c r="M38" s="10"/>
      <c r="N38" s="10"/>
      <c r="O38" s="10"/>
    </row>
    <row r="39" spans="11:15" ht="31.15" customHeight="1" x14ac:dyDescent="0.25">
      <c r="K39" s="10" t="s">
        <v>71</v>
      </c>
      <c r="L39" s="32" t="s">
        <v>57</v>
      </c>
      <c r="M39" s="33"/>
      <c r="N39" s="33"/>
      <c r="O39" s="34"/>
    </row>
  </sheetData>
  <mergeCells count="8">
    <mergeCell ref="L35:O35"/>
    <mergeCell ref="L36:O36"/>
    <mergeCell ref="L37:O37"/>
    <mergeCell ref="L39:O39"/>
    <mergeCell ref="B1:I1"/>
    <mergeCell ref="L21:O21"/>
    <mergeCell ref="L31:O31"/>
    <mergeCell ref="L32:O32"/>
  </mergeCells>
  <pageMargins left="0.7" right="0.7" top="0.75" bottom="0.75" header="0.3" footer="0.3"/>
  <pageSetup orientation="portrait" horizontalDpi="4294967295" verticalDpi="4294967295" r:id="rId1"/>
  <ignoredErrors>
    <ignoredError sqref="G5:H5"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415FB-5442-4CC9-8F9A-C598B1672AEF}">
  <dimension ref="A1:O39"/>
  <sheetViews>
    <sheetView zoomScale="85" zoomScaleNormal="85" workbookViewId="0">
      <selection activeCell="A23" sqref="A23"/>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1" max="11" width="47.5703125" bestFit="1" customWidth="1"/>
    <col min="12" max="12" width="35.5703125" customWidth="1"/>
    <col min="13" max="13" width="31.7109375" customWidth="1"/>
    <col min="14" max="14" width="26.7109375" customWidth="1"/>
    <col min="15" max="15" width="29.28515625" customWidth="1"/>
  </cols>
  <sheetData>
    <row r="1" spans="1:13" ht="18" thickBot="1" x14ac:dyDescent="0.35">
      <c r="A1" s="20" t="s">
        <v>72</v>
      </c>
      <c r="B1" s="35" t="s">
        <v>1</v>
      </c>
      <c r="C1" s="35"/>
      <c r="D1" s="35"/>
      <c r="E1" s="35"/>
      <c r="F1" s="35"/>
      <c r="G1" s="35"/>
      <c r="H1" s="35"/>
      <c r="I1" s="35"/>
      <c r="K1" s="8" t="s">
        <v>2</v>
      </c>
    </row>
    <row r="2" spans="1:13" ht="15.75" thickTop="1" x14ac:dyDescent="0.25">
      <c r="K2" t="s">
        <v>3</v>
      </c>
      <c r="L2" s="5">
        <f>AVERAGEIFS(G:G,F:F, "X", B:B, "Récit")</f>
        <v>5</v>
      </c>
    </row>
    <row r="3" spans="1:13" x14ac:dyDescent="0.25">
      <c r="A3" s="2" t="s">
        <v>4</v>
      </c>
      <c r="B3" s="2" t="s">
        <v>5</v>
      </c>
      <c r="C3" s="2" t="s">
        <v>6</v>
      </c>
      <c r="D3" s="2" t="s">
        <v>7</v>
      </c>
      <c r="E3" s="2" t="s">
        <v>8</v>
      </c>
      <c r="F3" s="2" t="s">
        <v>9</v>
      </c>
      <c r="G3" s="2" t="s">
        <v>10</v>
      </c>
      <c r="H3" s="2" t="s">
        <v>11</v>
      </c>
      <c r="K3" t="s">
        <v>12</v>
      </c>
      <c r="L3" s="5">
        <f>AVERAGEIFS(G:G,F:F, "X", B:B, "Tâche")</f>
        <v>2</v>
      </c>
    </row>
    <row r="4" spans="1:13" x14ac:dyDescent="0.25">
      <c r="A4" t="s">
        <v>73</v>
      </c>
      <c r="B4" s="4" t="s">
        <v>14</v>
      </c>
      <c r="C4" s="4"/>
      <c r="D4" s="4"/>
      <c r="E4" s="4"/>
      <c r="F4" s="3"/>
      <c r="G4" s="16">
        <f>SUM(G5:G20)</f>
        <v>28</v>
      </c>
      <c r="H4" s="16">
        <f>SUM(H5:H20)</f>
        <v>22</v>
      </c>
      <c r="K4" t="s">
        <v>16</v>
      </c>
      <c r="L4" s="5">
        <f>COUNTIFS(F:F, "X", B:B, "Récit")</f>
        <v>1</v>
      </c>
    </row>
    <row r="5" spans="1:13" x14ac:dyDescent="0.25">
      <c r="A5" t="s">
        <v>74</v>
      </c>
      <c r="B5" s="3" t="s">
        <v>18</v>
      </c>
      <c r="C5" s="4"/>
      <c r="D5" s="4"/>
      <c r="E5" s="4"/>
      <c r="F5" s="3" t="s">
        <v>15</v>
      </c>
      <c r="G5" s="1">
        <f>SUM(G6:G9)</f>
        <v>5</v>
      </c>
      <c r="H5" s="1">
        <f>SUM(H6:H9)</f>
        <v>4</v>
      </c>
      <c r="K5" t="s">
        <v>19</v>
      </c>
      <c r="L5" s="5">
        <f>COUNTIFS(F:F, "X", B:B, "Tâche")</f>
        <v>10</v>
      </c>
    </row>
    <row r="6" spans="1:13" x14ac:dyDescent="0.25">
      <c r="A6" t="s">
        <v>75</v>
      </c>
      <c r="B6" s="3" t="s">
        <v>21</v>
      </c>
      <c r="C6" s="4"/>
      <c r="D6" s="4">
        <v>1</v>
      </c>
      <c r="E6" s="4"/>
      <c r="F6" s="3" t="s">
        <v>15</v>
      </c>
      <c r="G6" s="1">
        <v>1</v>
      </c>
      <c r="H6" s="1">
        <v>1</v>
      </c>
    </row>
    <row r="7" spans="1:13" ht="15.75" thickBot="1" x14ac:dyDescent="0.3">
      <c r="A7" t="s">
        <v>76</v>
      </c>
      <c r="B7" s="3" t="s">
        <v>21</v>
      </c>
      <c r="C7" s="4">
        <v>1</v>
      </c>
      <c r="D7" s="4"/>
      <c r="E7" s="4"/>
      <c r="F7" s="3" t="s">
        <v>15</v>
      </c>
      <c r="G7" s="1">
        <v>1</v>
      </c>
      <c r="H7" s="1">
        <v>1</v>
      </c>
      <c r="K7" s="9" t="s">
        <v>23</v>
      </c>
    </row>
    <row r="8" spans="1:13" x14ac:dyDescent="0.25">
      <c r="A8" t="s">
        <v>77</v>
      </c>
      <c r="B8" s="3" t="s">
        <v>21</v>
      </c>
      <c r="C8" s="4">
        <v>1</v>
      </c>
      <c r="D8" s="4"/>
      <c r="E8" s="4"/>
      <c r="F8" s="3" t="s">
        <v>15</v>
      </c>
      <c r="G8" s="1">
        <v>3</v>
      </c>
      <c r="H8" s="1">
        <v>2</v>
      </c>
      <c r="K8" t="s">
        <v>25</v>
      </c>
      <c r="L8" s="5">
        <f>COUNTIF(B:B,"Récit")</f>
        <v>3</v>
      </c>
    </row>
    <row r="9" spans="1:13" x14ac:dyDescent="0.25">
      <c r="A9" t="s">
        <v>78</v>
      </c>
      <c r="B9" s="3" t="s">
        <v>21</v>
      </c>
      <c r="C9" s="4"/>
      <c r="D9" s="4"/>
      <c r="E9" s="4">
        <v>1</v>
      </c>
      <c r="F9" s="3" t="s">
        <v>15</v>
      </c>
      <c r="G9" s="1"/>
      <c r="H9" s="1"/>
      <c r="K9" t="s">
        <v>27</v>
      </c>
      <c r="L9" s="5">
        <f>COUNTIF(B:B, "Tâche")</f>
        <v>13</v>
      </c>
    </row>
    <row r="10" spans="1:13" x14ac:dyDescent="0.25">
      <c r="A10" t="s">
        <v>79</v>
      </c>
      <c r="B10" s="3" t="s">
        <v>18</v>
      </c>
      <c r="C10" s="4"/>
      <c r="D10" s="4"/>
      <c r="E10" s="4"/>
      <c r="F10" s="3"/>
      <c r="G10" s="1">
        <f>SUM(G11:G14)</f>
        <v>5</v>
      </c>
      <c r="H10" s="1">
        <f>SUM(H11:H14)</f>
        <v>4</v>
      </c>
    </row>
    <row r="11" spans="1:13" x14ac:dyDescent="0.25">
      <c r="A11" t="s">
        <v>75</v>
      </c>
      <c r="B11" s="3" t="s">
        <v>21</v>
      </c>
      <c r="C11" s="4"/>
      <c r="D11" s="4">
        <v>1</v>
      </c>
      <c r="E11" s="4"/>
      <c r="F11" s="3" t="s">
        <v>15</v>
      </c>
      <c r="G11" s="1">
        <v>2</v>
      </c>
      <c r="H11" s="1">
        <v>1</v>
      </c>
      <c r="K11" t="s">
        <v>30</v>
      </c>
      <c r="L11" s="6">
        <f>L4/L8</f>
        <v>0.33333333333333331</v>
      </c>
    </row>
    <row r="12" spans="1:13" x14ac:dyDescent="0.25">
      <c r="A12" t="s">
        <v>76</v>
      </c>
      <c r="B12" s="3" t="s">
        <v>21</v>
      </c>
      <c r="C12" s="4"/>
      <c r="D12" s="4"/>
      <c r="E12" s="4"/>
      <c r="F12" s="3"/>
      <c r="G12" s="1"/>
      <c r="H12" s="1"/>
      <c r="K12" t="s">
        <v>32</v>
      </c>
      <c r="L12" s="6">
        <f>L5/L9</f>
        <v>0.76923076923076927</v>
      </c>
    </row>
    <row r="13" spans="1:13" x14ac:dyDescent="0.25">
      <c r="A13" t="s">
        <v>77</v>
      </c>
      <c r="B13" s="3" t="s">
        <v>21</v>
      </c>
      <c r="C13" s="4">
        <v>1</v>
      </c>
      <c r="D13" s="4"/>
      <c r="E13" s="4"/>
      <c r="F13" s="3" t="s">
        <v>15</v>
      </c>
      <c r="G13" s="1">
        <v>3</v>
      </c>
      <c r="H13" s="1">
        <v>3</v>
      </c>
    </row>
    <row r="14" spans="1:13" ht="15.75" thickBot="1" x14ac:dyDescent="0.3">
      <c r="A14" t="s">
        <v>78</v>
      </c>
      <c r="B14" s="3" t="s">
        <v>21</v>
      </c>
      <c r="C14" s="4"/>
      <c r="D14" s="4"/>
      <c r="E14" s="4">
        <v>1</v>
      </c>
      <c r="F14" s="3" t="s">
        <v>15</v>
      </c>
      <c r="G14" s="1"/>
      <c r="H14" s="1"/>
      <c r="K14" s="9" t="s">
        <v>35</v>
      </c>
    </row>
    <row r="15" spans="1:13" x14ac:dyDescent="0.25">
      <c r="A15" t="s">
        <v>80</v>
      </c>
      <c r="B15" s="3" t="s">
        <v>18</v>
      </c>
      <c r="C15" s="4"/>
      <c r="D15" s="4"/>
      <c r="E15" s="4"/>
      <c r="F15" s="3"/>
      <c r="G15" s="1">
        <f>SUM(G16:G19)</f>
        <v>4</v>
      </c>
      <c r="H15" s="1">
        <f>SUM(H16:H19)</f>
        <v>3</v>
      </c>
      <c r="K15" t="s">
        <v>6</v>
      </c>
      <c r="L15" s="5">
        <f>SUMIFS(C:C,F:F,"X")</f>
        <v>4</v>
      </c>
      <c r="M15" s="6">
        <f>L15/SUM($L$15:$L$17)</f>
        <v>0.4</v>
      </c>
    </row>
    <row r="16" spans="1:13" x14ac:dyDescent="0.25">
      <c r="A16" t="s">
        <v>75</v>
      </c>
      <c r="B16" s="3" t="s">
        <v>21</v>
      </c>
      <c r="C16" s="4"/>
      <c r="D16" s="4">
        <v>1</v>
      </c>
      <c r="E16" s="4"/>
      <c r="F16" s="3" t="s">
        <v>15</v>
      </c>
      <c r="G16" s="1">
        <v>1</v>
      </c>
      <c r="H16" s="1">
        <v>1</v>
      </c>
      <c r="K16" t="s">
        <v>7</v>
      </c>
      <c r="L16" s="5">
        <f>SUMIFS(D:D,F:F,"X")</f>
        <v>3</v>
      </c>
      <c r="M16" s="6">
        <f>L16/SUM($L$15:$L$18)</f>
        <v>0.3</v>
      </c>
    </row>
    <row r="17" spans="1:15" x14ac:dyDescent="0.25">
      <c r="A17" t="s">
        <v>76</v>
      </c>
      <c r="B17" s="3" t="s">
        <v>21</v>
      </c>
      <c r="C17" s="4"/>
      <c r="D17" s="4"/>
      <c r="E17" s="4"/>
      <c r="F17" s="3"/>
      <c r="G17" s="1"/>
      <c r="H17" s="1"/>
      <c r="K17" s="10" t="s">
        <v>8</v>
      </c>
      <c r="L17" s="5">
        <f>SUMIFS(E:E,F:F,"X")</f>
        <v>3</v>
      </c>
      <c r="M17" s="6">
        <f>L17/SUM($L$15:$L$18)</f>
        <v>0.3</v>
      </c>
    </row>
    <row r="18" spans="1:15" x14ac:dyDescent="0.25">
      <c r="A18" t="s">
        <v>77</v>
      </c>
      <c r="B18" s="3" t="s">
        <v>21</v>
      </c>
      <c r="C18" s="4">
        <v>1</v>
      </c>
      <c r="D18" s="4"/>
      <c r="E18" s="4"/>
      <c r="F18" s="3" t="s">
        <v>15</v>
      </c>
      <c r="G18" s="1">
        <v>3</v>
      </c>
      <c r="H18" s="1">
        <v>2</v>
      </c>
    </row>
    <row r="19" spans="1:15" x14ac:dyDescent="0.25">
      <c r="A19" t="s">
        <v>78</v>
      </c>
      <c r="B19" s="3" t="s">
        <v>21</v>
      </c>
      <c r="C19" s="4"/>
      <c r="D19" s="4"/>
      <c r="E19" s="4">
        <v>1</v>
      </c>
      <c r="F19" s="3" t="s">
        <v>15</v>
      </c>
      <c r="G19" s="1"/>
      <c r="H19" s="1"/>
    </row>
    <row r="20" spans="1:15" ht="18" thickBot="1" x14ac:dyDescent="0.35">
      <c r="A20" t="s">
        <v>81</v>
      </c>
      <c r="B20" s="3" t="s">
        <v>21</v>
      </c>
      <c r="C20" s="4"/>
      <c r="D20" s="4"/>
      <c r="E20" s="4"/>
      <c r="F20" s="3"/>
      <c r="G20" s="1"/>
      <c r="H20" s="1"/>
      <c r="K20" s="8" t="s">
        <v>38</v>
      </c>
    </row>
    <row r="21" spans="1:15" ht="15.75" thickTop="1" x14ac:dyDescent="0.25">
      <c r="L21" s="36" t="s">
        <v>39</v>
      </c>
      <c r="M21" s="36"/>
      <c r="N21" s="36"/>
      <c r="O21" s="36"/>
    </row>
    <row r="22" spans="1:15" ht="15.75" thickBot="1" x14ac:dyDescent="0.3">
      <c r="K22" s="9" t="s">
        <v>40</v>
      </c>
      <c r="L22" t="s">
        <v>82</v>
      </c>
      <c r="M22" t="s">
        <v>83</v>
      </c>
      <c r="N22" t="s">
        <v>84</v>
      </c>
      <c r="O22" t="s">
        <v>85</v>
      </c>
    </row>
    <row r="23" spans="1:15" ht="127.15" customHeight="1" x14ac:dyDescent="0.25">
      <c r="K23" s="10" t="s">
        <v>6</v>
      </c>
      <c r="L23" s="21" t="s">
        <v>86</v>
      </c>
      <c r="M23" s="21" t="s">
        <v>87</v>
      </c>
      <c r="N23" s="21" t="s">
        <v>88</v>
      </c>
      <c r="O23" s="17" t="s">
        <v>89</v>
      </c>
    </row>
    <row r="24" spans="1:15" ht="123.6" customHeight="1" x14ac:dyDescent="0.25">
      <c r="K24" s="10" t="s">
        <v>7</v>
      </c>
      <c r="L24" s="12" t="s">
        <v>90</v>
      </c>
      <c r="M24" s="11" t="s">
        <v>91</v>
      </c>
      <c r="N24" s="11" t="s">
        <v>92</v>
      </c>
      <c r="O24" s="21" t="s">
        <v>93</v>
      </c>
    </row>
    <row r="25" spans="1:15" ht="117.75" customHeight="1" x14ac:dyDescent="0.25">
      <c r="K25" s="10" t="s">
        <v>8</v>
      </c>
      <c r="L25" s="21" t="s">
        <v>94</v>
      </c>
      <c r="M25" s="21" t="s">
        <v>95</v>
      </c>
      <c r="N25" s="21" t="s">
        <v>96</v>
      </c>
      <c r="O25" s="22" t="s">
        <v>97</v>
      </c>
    </row>
    <row r="26" spans="1:15" ht="21.75" customHeight="1" x14ac:dyDescent="0.25">
      <c r="K26" t="s">
        <v>56</v>
      </c>
      <c r="L26" s="7" t="s">
        <v>57</v>
      </c>
      <c r="M26" s="7" t="s">
        <v>57</v>
      </c>
      <c r="N26" s="7" t="s">
        <v>57</v>
      </c>
      <c r="O26" s="7" t="s">
        <v>98</v>
      </c>
    </row>
    <row r="27" spans="1:15" x14ac:dyDescent="0.25">
      <c r="K27" t="s">
        <v>58</v>
      </c>
      <c r="L27" s="7" t="s">
        <v>57</v>
      </c>
      <c r="M27" s="7" t="s">
        <v>57</v>
      </c>
      <c r="N27" s="7" t="s">
        <v>57</v>
      </c>
      <c r="O27" s="7" t="s">
        <v>57</v>
      </c>
    </row>
    <row r="30" spans="1:15" ht="15.75" thickBot="1" x14ac:dyDescent="0.3">
      <c r="K30" s="9" t="s">
        <v>59</v>
      </c>
    </row>
    <row r="31" spans="1:15" ht="44.45" customHeight="1" x14ac:dyDescent="0.25">
      <c r="K31" s="10" t="s">
        <v>60</v>
      </c>
      <c r="L31" s="37" t="s">
        <v>99</v>
      </c>
      <c r="M31" s="38"/>
      <c r="N31" s="38"/>
      <c r="O31" s="39"/>
    </row>
    <row r="32" spans="1:15" ht="45" customHeight="1" x14ac:dyDescent="0.25">
      <c r="K32" s="10" t="s">
        <v>62</v>
      </c>
      <c r="L32" s="32" t="s">
        <v>57</v>
      </c>
      <c r="M32" s="33"/>
      <c r="N32" s="33"/>
      <c r="O32" s="34"/>
    </row>
    <row r="34" spans="11:15" ht="15.75" thickBot="1" x14ac:dyDescent="0.3">
      <c r="K34" s="9" t="s">
        <v>64</v>
      </c>
    </row>
    <row r="35" spans="11:15" ht="31.15" customHeight="1" x14ac:dyDescent="0.25">
      <c r="K35" s="10" t="s">
        <v>65</v>
      </c>
      <c r="L35" s="32" t="s">
        <v>100</v>
      </c>
      <c r="M35" s="33"/>
      <c r="N35" s="33"/>
      <c r="O35" s="34"/>
    </row>
    <row r="36" spans="11:15" ht="30.6" customHeight="1" x14ac:dyDescent="0.25">
      <c r="K36" s="10" t="s">
        <v>67</v>
      </c>
      <c r="L36" s="32" t="s">
        <v>101</v>
      </c>
      <c r="M36" s="33"/>
      <c r="N36" s="33"/>
      <c r="O36" s="34"/>
    </row>
    <row r="37" spans="11:15" ht="31.15" customHeight="1" x14ac:dyDescent="0.25">
      <c r="K37" s="10" t="s">
        <v>69</v>
      </c>
      <c r="L37" s="32" t="s">
        <v>102</v>
      </c>
      <c r="M37" s="33"/>
      <c r="N37" s="33"/>
      <c r="O37" s="34"/>
    </row>
    <row r="38" spans="11:15" x14ac:dyDescent="0.25">
      <c r="K38" s="10"/>
      <c r="L38" s="10"/>
      <c r="M38" s="10"/>
      <c r="N38" s="10"/>
      <c r="O38" s="10"/>
    </row>
    <row r="39" spans="11:15" ht="31.15" customHeight="1" x14ac:dyDescent="0.25">
      <c r="K39" s="10" t="s">
        <v>71</v>
      </c>
      <c r="L39" s="32" t="s">
        <v>103</v>
      </c>
      <c r="M39" s="33"/>
      <c r="N39" s="33"/>
      <c r="O39" s="34"/>
    </row>
  </sheetData>
  <mergeCells count="8">
    <mergeCell ref="L37:O37"/>
    <mergeCell ref="L39:O39"/>
    <mergeCell ref="B1:I1"/>
    <mergeCell ref="L21:O21"/>
    <mergeCell ref="L31:O31"/>
    <mergeCell ref="L32:O32"/>
    <mergeCell ref="L35:O35"/>
    <mergeCell ref="L36:O36"/>
  </mergeCells>
  <phoneticPr fontId="15" type="noConversion"/>
  <pageMargins left="0.7" right="0.7" top="0.75" bottom="0.75" header="0.3" footer="0.3"/>
  <pageSetup orientation="portrait" horizontalDpi="4294967295" verticalDpi="4294967295"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B699-3E2B-4AC7-8604-D83EF3D4218B}">
  <dimension ref="A1:O39"/>
  <sheetViews>
    <sheetView topLeftCell="K28" workbookViewId="0">
      <selection activeCell="L39" sqref="L39:O39"/>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1" max="11" width="47.5703125" bestFit="1" customWidth="1"/>
    <col min="12" max="12" width="35.5703125" customWidth="1"/>
    <col min="13" max="13" width="31.7109375" customWidth="1"/>
    <col min="14" max="14" width="26.7109375" customWidth="1"/>
    <col min="15" max="15" width="29.28515625" customWidth="1"/>
  </cols>
  <sheetData>
    <row r="1" spans="1:13" ht="18" thickBot="1" x14ac:dyDescent="0.35">
      <c r="A1" s="20" t="s">
        <v>104</v>
      </c>
      <c r="B1" s="35" t="s">
        <v>1</v>
      </c>
      <c r="C1" s="35"/>
      <c r="D1" s="35"/>
      <c r="E1" s="35"/>
      <c r="F1" s="35"/>
      <c r="G1" s="35"/>
      <c r="H1" s="35"/>
      <c r="I1" s="35"/>
      <c r="K1" s="8" t="s">
        <v>2</v>
      </c>
    </row>
    <row r="2" spans="1:13" ht="15.75" thickTop="1" x14ac:dyDescent="0.25">
      <c r="K2" t="s">
        <v>3</v>
      </c>
      <c r="L2" s="5" t="e">
        <f>AVERAGEIFS(G:G,F:F, "X", B:B, "Récit")</f>
        <v>#DIV/0!</v>
      </c>
    </row>
    <row r="3" spans="1:13" x14ac:dyDescent="0.25">
      <c r="A3" s="2" t="s">
        <v>4</v>
      </c>
      <c r="B3" s="2" t="s">
        <v>5</v>
      </c>
      <c r="C3" s="2" t="s">
        <v>6</v>
      </c>
      <c r="D3" s="2" t="s">
        <v>7</v>
      </c>
      <c r="E3" s="2" t="s">
        <v>8</v>
      </c>
      <c r="F3" s="2" t="s">
        <v>9</v>
      </c>
      <c r="G3" s="2" t="s">
        <v>10</v>
      </c>
      <c r="H3" s="2" t="s">
        <v>11</v>
      </c>
      <c r="K3" t="s">
        <v>12</v>
      </c>
      <c r="L3" s="5">
        <f>AVERAGEIFS(G:G,F:F, "X", B:B, "Tâche")</f>
        <v>2.125</v>
      </c>
    </row>
    <row r="4" spans="1:13" x14ac:dyDescent="0.25">
      <c r="A4" s="23" t="s">
        <v>105</v>
      </c>
      <c r="B4" s="4" t="s">
        <v>18</v>
      </c>
      <c r="C4" s="4"/>
      <c r="D4" s="4"/>
      <c r="E4" s="4"/>
      <c r="F4" s="3" t="s">
        <v>15</v>
      </c>
      <c r="G4" s="16"/>
      <c r="H4" s="16"/>
      <c r="K4" t="s">
        <v>16</v>
      </c>
      <c r="L4" s="5">
        <f>COUNTIFS(F:F, "X", B:B, "Récit")</f>
        <v>1</v>
      </c>
    </row>
    <row r="5" spans="1:13" x14ac:dyDescent="0.25">
      <c r="A5" s="23" t="s">
        <v>106</v>
      </c>
      <c r="B5" s="3" t="s">
        <v>21</v>
      </c>
      <c r="C5" s="4">
        <v>1</v>
      </c>
      <c r="D5" s="4"/>
      <c r="E5" s="4"/>
      <c r="F5" s="3" t="s">
        <v>15</v>
      </c>
      <c r="G5" s="1">
        <v>5</v>
      </c>
      <c r="H5" s="1">
        <v>5</v>
      </c>
      <c r="K5" t="s">
        <v>19</v>
      </c>
      <c r="L5" s="5">
        <f>COUNTIFS(F:F, "X", B:B, "Tâche")</f>
        <v>8</v>
      </c>
    </row>
    <row r="6" spans="1:13" x14ac:dyDescent="0.25">
      <c r="A6" s="23" t="s">
        <v>107</v>
      </c>
      <c r="B6" s="3" t="s">
        <v>21</v>
      </c>
      <c r="C6" s="4"/>
      <c r="D6" s="4">
        <v>1</v>
      </c>
      <c r="E6" s="4"/>
      <c r="F6" s="3" t="s">
        <v>15</v>
      </c>
      <c r="G6" s="1">
        <v>1</v>
      </c>
      <c r="H6" s="1">
        <v>2</v>
      </c>
    </row>
    <row r="7" spans="1:13" ht="15.75" thickBot="1" x14ac:dyDescent="0.3">
      <c r="A7" t="s">
        <v>108</v>
      </c>
      <c r="B7" s="3" t="s">
        <v>21</v>
      </c>
      <c r="C7" s="4"/>
      <c r="D7" s="4"/>
      <c r="E7" s="4">
        <v>1</v>
      </c>
      <c r="F7" s="3" t="s">
        <v>15</v>
      </c>
      <c r="G7" s="1">
        <v>1</v>
      </c>
      <c r="H7" s="1">
        <v>3</v>
      </c>
      <c r="K7" s="9" t="s">
        <v>23</v>
      </c>
    </row>
    <row r="8" spans="1:13" x14ac:dyDescent="0.25">
      <c r="A8" t="s">
        <v>81</v>
      </c>
      <c r="B8" s="3" t="s">
        <v>21</v>
      </c>
      <c r="C8" s="4">
        <v>1</v>
      </c>
      <c r="D8" s="4"/>
      <c r="E8" s="4"/>
      <c r="F8" s="3" t="s">
        <v>15</v>
      </c>
      <c r="G8" s="1">
        <v>4</v>
      </c>
      <c r="H8" s="1">
        <v>4</v>
      </c>
      <c r="K8" t="s">
        <v>25</v>
      </c>
      <c r="L8" s="5">
        <f>COUNTIF(B:B,"Récit")</f>
        <v>1</v>
      </c>
    </row>
    <row r="9" spans="1:13" x14ac:dyDescent="0.25">
      <c r="A9" s="24" t="s">
        <v>109</v>
      </c>
      <c r="B9" s="3" t="s">
        <v>21</v>
      </c>
      <c r="C9" s="4"/>
      <c r="D9" s="4"/>
      <c r="E9" s="4"/>
      <c r="F9" s="3"/>
      <c r="G9" s="1"/>
      <c r="H9" s="1"/>
      <c r="K9" t="s">
        <v>27</v>
      </c>
      <c r="L9" s="5">
        <f>COUNTIF(B:B, "Tâche")</f>
        <v>9</v>
      </c>
    </row>
    <row r="10" spans="1:13" x14ac:dyDescent="0.25">
      <c r="A10" t="s">
        <v>110</v>
      </c>
      <c r="B10" s="3" t="s">
        <v>21</v>
      </c>
      <c r="C10" s="4"/>
      <c r="D10" s="4">
        <v>1</v>
      </c>
      <c r="E10" s="4"/>
      <c r="F10" s="3" t="s">
        <v>15</v>
      </c>
      <c r="G10" s="1">
        <v>1</v>
      </c>
      <c r="H10" s="1">
        <v>2</v>
      </c>
    </row>
    <row r="11" spans="1:13" x14ac:dyDescent="0.25">
      <c r="A11" t="s">
        <v>111</v>
      </c>
      <c r="B11" s="3" t="s">
        <v>21</v>
      </c>
      <c r="C11" s="4"/>
      <c r="D11" s="4">
        <v>1</v>
      </c>
      <c r="E11" s="4"/>
      <c r="F11" s="3" t="s">
        <v>15</v>
      </c>
      <c r="G11" s="1">
        <v>2</v>
      </c>
      <c r="H11" s="1">
        <v>3</v>
      </c>
      <c r="K11" t="s">
        <v>30</v>
      </c>
      <c r="L11" s="6">
        <f>L4/L8</f>
        <v>1</v>
      </c>
    </row>
    <row r="12" spans="1:13" x14ac:dyDescent="0.25">
      <c r="A12" t="s">
        <v>112</v>
      </c>
      <c r="B12" s="3" t="s">
        <v>21</v>
      </c>
      <c r="C12" s="4"/>
      <c r="D12" s="4"/>
      <c r="E12" s="4">
        <v>1</v>
      </c>
      <c r="F12" s="3" t="s">
        <v>15</v>
      </c>
      <c r="G12" s="1">
        <v>2</v>
      </c>
      <c r="H12" s="1">
        <v>2</v>
      </c>
      <c r="K12" t="s">
        <v>32</v>
      </c>
      <c r="L12" s="6">
        <f>L5/L9</f>
        <v>0.88888888888888884</v>
      </c>
    </row>
    <row r="13" spans="1:13" x14ac:dyDescent="0.25">
      <c r="A13" t="s">
        <v>113</v>
      </c>
      <c r="B13" s="3" t="s">
        <v>21</v>
      </c>
      <c r="C13" s="4"/>
      <c r="D13" s="4"/>
      <c r="E13" s="4">
        <v>1</v>
      </c>
      <c r="F13" s="3" t="s">
        <v>15</v>
      </c>
      <c r="G13" s="1">
        <v>1</v>
      </c>
      <c r="H13" s="1">
        <v>4</v>
      </c>
    </row>
    <row r="14" spans="1:13" ht="15.75" thickBot="1" x14ac:dyDescent="0.3">
      <c r="A14" t="s">
        <v>114</v>
      </c>
      <c r="B14" s="3"/>
      <c r="C14" s="4"/>
      <c r="D14" s="4">
        <v>1</v>
      </c>
      <c r="E14" s="4"/>
      <c r="F14" s="3" t="s">
        <v>15</v>
      </c>
      <c r="G14" s="1">
        <v>3</v>
      </c>
      <c r="H14" s="1">
        <v>2</v>
      </c>
      <c r="K14" s="9" t="s">
        <v>35</v>
      </c>
    </row>
    <row r="15" spans="1:13" x14ac:dyDescent="0.25">
      <c r="B15" s="3"/>
      <c r="C15" s="4"/>
      <c r="D15" s="4"/>
      <c r="E15" s="4"/>
      <c r="F15" s="3"/>
      <c r="G15" s="1"/>
      <c r="H15" s="1"/>
      <c r="K15" t="s">
        <v>6</v>
      </c>
      <c r="L15" s="5">
        <f>SUMIFS(C:C,F:F,"X")</f>
        <v>2</v>
      </c>
      <c r="M15" s="6">
        <f>L15/SUM($L$15:$L$17)</f>
        <v>0.22222222222222221</v>
      </c>
    </row>
    <row r="16" spans="1:13" x14ac:dyDescent="0.25">
      <c r="B16" s="3"/>
      <c r="C16" s="4"/>
      <c r="D16" s="4"/>
      <c r="E16" s="4"/>
      <c r="F16" s="3"/>
      <c r="G16" s="1"/>
      <c r="H16" s="1"/>
      <c r="K16" t="s">
        <v>7</v>
      </c>
      <c r="L16" s="5">
        <f>SUMIFS(D:D,F:F,"X")</f>
        <v>4</v>
      </c>
      <c r="M16" s="6">
        <f>L16/SUM($L$15:$L$18)</f>
        <v>0.44444444444444442</v>
      </c>
    </row>
    <row r="17" spans="2:15" x14ac:dyDescent="0.25">
      <c r="B17" s="3"/>
      <c r="C17" s="4"/>
      <c r="D17" s="4"/>
      <c r="E17" s="4"/>
      <c r="F17" s="3"/>
      <c r="G17" s="1"/>
      <c r="H17" s="1"/>
      <c r="K17" s="10" t="s">
        <v>8</v>
      </c>
      <c r="L17" s="5">
        <f>SUMIFS(E:E,F:F,"X")</f>
        <v>3</v>
      </c>
      <c r="M17" s="6">
        <f>L17/SUM($L$15:$L$18)</f>
        <v>0.33333333333333331</v>
      </c>
    </row>
    <row r="18" spans="2:15" x14ac:dyDescent="0.25">
      <c r="B18" s="3"/>
      <c r="C18" s="4"/>
      <c r="D18" s="4"/>
      <c r="E18" s="4"/>
      <c r="F18" s="3"/>
      <c r="G18" s="1"/>
      <c r="H18" s="1"/>
    </row>
    <row r="19" spans="2:15" x14ac:dyDescent="0.25">
      <c r="B19" s="3"/>
      <c r="C19" s="4"/>
      <c r="D19" s="4"/>
      <c r="E19" s="4"/>
      <c r="F19" s="3"/>
      <c r="G19" s="1"/>
      <c r="H19" s="1"/>
    </row>
    <row r="20" spans="2:15" ht="18" thickBot="1" x14ac:dyDescent="0.35">
      <c r="B20" s="3"/>
      <c r="C20" s="4"/>
      <c r="D20" s="4"/>
      <c r="E20" s="4"/>
      <c r="F20" s="3"/>
      <c r="G20" s="1"/>
      <c r="H20" s="1"/>
      <c r="K20" s="8" t="s">
        <v>38</v>
      </c>
    </row>
    <row r="21" spans="2:15" ht="15.75" thickTop="1" x14ac:dyDescent="0.25">
      <c r="L21" s="36" t="s">
        <v>39</v>
      </c>
      <c r="M21" s="36"/>
      <c r="N21" s="36"/>
      <c r="O21" s="36"/>
    </row>
    <row r="22" spans="2:15" ht="15.75" thickBot="1" x14ac:dyDescent="0.3">
      <c r="K22" s="9" t="s">
        <v>40</v>
      </c>
      <c r="L22" t="s">
        <v>115</v>
      </c>
      <c r="M22" t="s">
        <v>116</v>
      </c>
      <c r="N22" t="s">
        <v>117</v>
      </c>
      <c r="O22" t="s">
        <v>118</v>
      </c>
    </row>
    <row r="23" spans="2:15" ht="127.15" customHeight="1" x14ac:dyDescent="0.25">
      <c r="K23" s="10" t="s">
        <v>6</v>
      </c>
      <c r="L23" s="11" t="s">
        <v>119</v>
      </c>
      <c r="M23" s="11" t="s">
        <v>120</v>
      </c>
      <c r="N23" s="11" t="s">
        <v>121</v>
      </c>
      <c r="O23" s="11" t="s">
        <v>122</v>
      </c>
    </row>
    <row r="24" spans="2:15" ht="123.6" customHeight="1" x14ac:dyDescent="0.25">
      <c r="K24" s="10" t="s">
        <v>7</v>
      </c>
      <c r="L24" s="22" t="s">
        <v>123</v>
      </c>
      <c r="M24" s="22" t="s">
        <v>124</v>
      </c>
      <c r="N24" s="22" t="s">
        <v>125</v>
      </c>
      <c r="O24" s="22" t="s">
        <v>126</v>
      </c>
    </row>
    <row r="25" spans="2:15" ht="117.75" customHeight="1" x14ac:dyDescent="0.25">
      <c r="K25" s="10" t="s">
        <v>8</v>
      </c>
      <c r="L25" s="22" t="s">
        <v>127</v>
      </c>
      <c r="M25" s="28" t="s">
        <v>128</v>
      </c>
      <c r="N25" s="28" t="s">
        <v>129</v>
      </c>
      <c r="O25" s="28" t="s">
        <v>130</v>
      </c>
    </row>
    <row r="26" spans="2:15" ht="21.75" customHeight="1" x14ac:dyDescent="0.25">
      <c r="K26" t="s">
        <v>56</v>
      </c>
      <c r="L26" s="7" t="s">
        <v>57</v>
      </c>
      <c r="M26" s="7" t="s">
        <v>57</v>
      </c>
      <c r="N26" s="7" t="s">
        <v>57</v>
      </c>
      <c r="O26" s="7" t="s">
        <v>98</v>
      </c>
    </row>
    <row r="27" spans="2:15" x14ac:dyDescent="0.25">
      <c r="K27" t="s">
        <v>58</v>
      </c>
      <c r="L27" s="7" t="s">
        <v>57</v>
      </c>
      <c r="M27" s="7" t="s">
        <v>57</v>
      </c>
      <c r="N27" s="7" t="s">
        <v>57</v>
      </c>
      <c r="O27" s="7" t="s">
        <v>57</v>
      </c>
    </row>
    <row r="30" spans="2:15" x14ac:dyDescent="0.25">
      <c r="K30" s="9" t="s">
        <v>59</v>
      </c>
    </row>
    <row r="31" spans="2:15" ht="44.45" customHeight="1" x14ac:dyDescent="0.25">
      <c r="K31" s="10" t="s">
        <v>60</v>
      </c>
      <c r="L31" s="25" t="s">
        <v>131</v>
      </c>
      <c r="M31" s="26"/>
      <c r="N31" s="26"/>
      <c r="O31" s="27"/>
    </row>
    <row r="32" spans="2:15" ht="45" customHeight="1" x14ac:dyDescent="0.25">
      <c r="K32" s="10" t="s">
        <v>62</v>
      </c>
      <c r="L32" s="32" t="s">
        <v>132</v>
      </c>
      <c r="M32" s="33"/>
      <c r="N32" s="33"/>
      <c r="O32" s="34"/>
    </row>
    <row r="34" spans="11:15" ht="15.75" thickBot="1" x14ac:dyDescent="0.3">
      <c r="K34" s="9" t="s">
        <v>64</v>
      </c>
    </row>
    <row r="35" spans="11:15" ht="31.15" customHeight="1" x14ac:dyDescent="0.25">
      <c r="K35" s="10" t="s">
        <v>65</v>
      </c>
      <c r="L35" s="32" t="s">
        <v>133</v>
      </c>
      <c r="M35" s="33"/>
      <c r="N35" s="33"/>
      <c r="O35" s="34"/>
    </row>
    <row r="36" spans="11:15" ht="30.6" customHeight="1" x14ac:dyDescent="0.25">
      <c r="K36" s="10" t="s">
        <v>67</v>
      </c>
      <c r="L36" s="32" t="s">
        <v>134</v>
      </c>
      <c r="M36" s="33"/>
      <c r="N36" s="33"/>
      <c r="O36" s="34"/>
    </row>
    <row r="37" spans="11:15" ht="31.15" customHeight="1" x14ac:dyDescent="0.25">
      <c r="K37" s="10" t="s">
        <v>69</v>
      </c>
      <c r="L37" s="32" t="s">
        <v>135</v>
      </c>
      <c r="M37" s="33"/>
      <c r="N37" s="33"/>
      <c r="O37" s="34"/>
    </row>
    <row r="38" spans="11:15" x14ac:dyDescent="0.25">
      <c r="K38" s="10"/>
      <c r="L38" s="10"/>
      <c r="M38" s="10"/>
      <c r="N38" s="10"/>
      <c r="O38" s="10"/>
    </row>
    <row r="39" spans="11:15" ht="31.15" customHeight="1" x14ac:dyDescent="0.25">
      <c r="K39" s="10" t="s">
        <v>71</v>
      </c>
      <c r="L39" s="32" t="s">
        <v>136</v>
      </c>
      <c r="M39" s="33"/>
      <c r="N39" s="33"/>
      <c r="O39" s="34"/>
    </row>
  </sheetData>
  <mergeCells count="7">
    <mergeCell ref="L37:O37"/>
    <mergeCell ref="L39:O39"/>
    <mergeCell ref="B1:I1"/>
    <mergeCell ref="L21:O21"/>
    <mergeCell ref="L32:O32"/>
    <mergeCell ref="L35:O35"/>
    <mergeCell ref="L36:O3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3A81-23BA-46E4-A60B-49B32CFFEDCB}">
  <dimension ref="A1:O39"/>
  <sheetViews>
    <sheetView topLeftCell="J20" zoomScale="115" zoomScaleNormal="115" workbookViewId="0">
      <selection activeCell="I13" sqref="I13"/>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1" max="11" width="47.5703125" bestFit="1" customWidth="1"/>
    <col min="12" max="12" width="35.5703125" customWidth="1"/>
    <col min="13" max="13" width="31.7109375" customWidth="1"/>
    <col min="14" max="14" width="26.7109375" customWidth="1"/>
    <col min="15" max="15" width="29.28515625" customWidth="1"/>
  </cols>
  <sheetData>
    <row r="1" spans="1:13" ht="18" thickBot="1" x14ac:dyDescent="0.35">
      <c r="A1" s="20" t="s">
        <v>137</v>
      </c>
      <c r="B1" s="35" t="s">
        <v>1</v>
      </c>
      <c r="C1" s="35"/>
      <c r="D1" s="35"/>
      <c r="E1" s="35"/>
      <c r="F1" s="35"/>
      <c r="G1" s="35"/>
      <c r="H1" s="35"/>
      <c r="I1" s="35"/>
      <c r="K1" s="8" t="s">
        <v>2</v>
      </c>
    </row>
    <row r="2" spans="1:13" ht="15.75" thickTop="1" x14ac:dyDescent="0.25">
      <c r="K2" t="s">
        <v>3</v>
      </c>
      <c r="L2" s="5" t="e">
        <f>AVERAGEIFS(G:G,F:F, "X", B:B, "Récit")</f>
        <v>#DIV/0!</v>
      </c>
    </row>
    <row r="3" spans="1:13" x14ac:dyDescent="0.25">
      <c r="A3" s="2" t="s">
        <v>4</v>
      </c>
      <c r="B3" s="2" t="s">
        <v>5</v>
      </c>
      <c r="C3" s="2" t="s">
        <v>6</v>
      </c>
      <c r="D3" s="2" t="s">
        <v>7</v>
      </c>
      <c r="E3" s="2" t="s">
        <v>8</v>
      </c>
      <c r="F3" s="2" t="s">
        <v>9</v>
      </c>
      <c r="G3" s="2" t="s">
        <v>10</v>
      </c>
      <c r="H3" s="2" t="s">
        <v>11</v>
      </c>
      <c r="K3" t="s">
        <v>12</v>
      </c>
      <c r="L3" s="5">
        <f>AVERAGEIFS(G:G,F:F, "X", B:B, "Tâche")</f>
        <v>1.7777777777777777</v>
      </c>
    </row>
    <row r="4" spans="1:13" x14ac:dyDescent="0.25">
      <c r="A4" s="24" t="s">
        <v>109</v>
      </c>
      <c r="B4" s="3" t="s">
        <v>21</v>
      </c>
      <c r="C4" s="4">
        <v>0.7</v>
      </c>
      <c r="D4" s="4"/>
      <c r="E4" s="4">
        <v>0.3</v>
      </c>
      <c r="F4" s="3" t="s">
        <v>138</v>
      </c>
      <c r="G4" s="16">
        <v>2</v>
      </c>
      <c r="H4" s="16">
        <v>2</v>
      </c>
      <c r="K4" t="s">
        <v>16</v>
      </c>
      <c r="L4" s="5">
        <f>COUNTIFS(F:F, "X", B:B, "Récit")</f>
        <v>0</v>
      </c>
    </row>
    <row r="5" spans="1:13" x14ac:dyDescent="0.25">
      <c r="A5" t="s">
        <v>139</v>
      </c>
      <c r="B5" s="3" t="s">
        <v>21</v>
      </c>
      <c r="C5" s="4"/>
      <c r="D5" s="4"/>
      <c r="E5" s="4">
        <v>1</v>
      </c>
      <c r="F5" s="3" t="s">
        <v>138</v>
      </c>
      <c r="G5" s="1">
        <v>3</v>
      </c>
      <c r="H5" s="1">
        <v>3</v>
      </c>
      <c r="K5" t="s">
        <v>19</v>
      </c>
      <c r="L5" s="5">
        <f>COUNTIFS(F:F, "X", B:B, "Tâche")</f>
        <v>9</v>
      </c>
    </row>
    <row r="6" spans="1:13" x14ac:dyDescent="0.25">
      <c r="A6" t="s">
        <v>140</v>
      </c>
      <c r="B6" s="3" t="s">
        <v>21</v>
      </c>
      <c r="C6" s="4"/>
      <c r="D6" s="4">
        <v>1</v>
      </c>
      <c r="E6" s="4"/>
      <c r="F6" s="3" t="s">
        <v>138</v>
      </c>
      <c r="G6" s="1">
        <v>1</v>
      </c>
      <c r="H6" s="1">
        <v>1</v>
      </c>
    </row>
    <row r="7" spans="1:13" ht="15.75" thickBot="1" x14ac:dyDescent="0.3">
      <c r="A7" t="s">
        <v>141</v>
      </c>
      <c r="B7" s="3" t="s">
        <v>21</v>
      </c>
      <c r="C7" s="4">
        <v>0.33</v>
      </c>
      <c r="D7" s="4">
        <v>0.35</v>
      </c>
      <c r="E7" s="4">
        <v>0.32</v>
      </c>
      <c r="F7" s="3" t="s">
        <v>138</v>
      </c>
      <c r="G7" s="1">
        <v>3</v>
      </c>
      <c r="H7" s="1">
        <v>3</v>
      </c>
      <c r="K7" s="9" t="s">
        <v>23</v>
      </c>
    </row>
    <row r="8" spans="1:13" x14ac:dyDescent="0.25">
      <c r="A8" t="s">
        <v>142</v>
      </c>
      <c r="B8" s="3" t="s">
        <v>21</v>
      </c>
      <c r="C8" s="4"/>
      <c r="D8" s="4">
        <v>0.5</v>
      </c>
      <c r="E8" s="4">
        <v>0.5</v>
      </c>
      <c r="F8" s="4" t="s">
        <v>138</v>
      </c>
      <c r="G8" s="1">
        <v>2</v>
      </c>
      <c r="H8" s="1">
        <v>2</v>
      </c>
      <c r="K8" t="s">
        <v>25</v>
      </c>
      <c r="L8" s="5">
        <f>COUNTIF(B:B,"Récit")</f>
        <v>0</v>
      </c>
    </row>
    <row r="9" spans="1:13" x14ac:dyDescent="0.25">
      <c r="A9" t="s">
        <v>143</v>
      </c>
      <c r="B9" s="3" t="s">
        <v>21</v>
      </c>
      <c r="C9" s="4">
        <v>1</v>
      </c>
      <c r="D9" s="4"/>
      <c r="E9" s="4"/>
      <c r="F9" s="4" t="s">
        <v>138</v>
      </c>
      <c r="G9" s="1">
        <v>1</v>
      </c>
      <c r="H9" s="1">
        <v>1</v>
      </c>
      <c r="K9" t="s">
        <v>27</v>
      </c>
      <c r="L9" s="5">
        <f>COUNTIF(B:B, "Tâche")</f>
        <v>9</v>
      </c>
    </row>
    <row r="10" spans="1:13" x14ac:dyDescent="0.25">
      <c r="A10" t="s">
        <v>144</v>
      </c>
      <c r="B10" s="3" t="s">
        <v>21</v>
      </c>
      <c r="C10" s="4">
        <v>1</v>
      </c>
      <c r="D10" s="4"/>
      <c r="E10" s="4"/>
      <c r="F10" s="4" t="s">
        <v>138</v>
      </c>
      <c r="G10" s="1">
        <v>1</v>
      </c>
      <c r="H10" s="1">
        <v>1</v>
      </c>
    </row>
    <row r="11" spans="1:13" x14ac:dyDescent="0.25">
      <c r="A11" t="s">
        <v>145</v>
      </c>
      <c r="B11" s="3" t="s">
        <v>21</v>
      </c>
      <c r="C11" s="4"/>
      <c r="D11" s="4">
        <v>1</v>
      </c>
      <c r="E11" s="4"/>
      <c r="F11" s="4" t="s">
        <v>138</v>
      </c>
      <c r="G11" s="1">
        <v>1</v>
      </c>
      <c r="H11" s="1">
        <v>1</v>
      </c>
      <c r="K11" t="s">
        <v>30</v>
      </c>
      <c r="L11" s="6" t="e">
        <f>L4/L8</f>
        <v>#DIV/0!</v>
      </c>
    </row>
    <row r="12" spans="1:13" x14ac:dyDescent="0.25">
      <c r="A12" t="s">
        <v>146</v>
      </c>
      <c r="B12" s="3" t="s">
        <v>21</v>
      </c>
      <c r="C12" s="4"/>
      <c r="D12" s="4"/>
      <c r="E12" s="4">
        <v>1</v>
      </c>
      <c r="F12" s="3" t="s">
        <v>138</v>
      </c>
      <c r="G12" s="1">
        <v>2</v>
      </c>
      <c r="H12" s="1">
        <v>2</v>
      </c>
      <c r="K12" t="s">
        <v>32</v>
      </c>
      <c r="L12" s="6">
        <f>L5/L9</f>
        <v>1</v>
      </c>
    </row>
    <row r="13" spans="1:13" x14ac:dyDescent="0.25">
      <c r="B13" s="3"/>
      <c r="C13" s="4"/>
      <c r="D13" s="4"/>
      <c r="E13" s="4"/>
      <c r="F13" s="3"/>
      <c r="G13" s="1"/>
      <c r="H13" s="1"/>
    </row>
    <row r="14" spans="1:13" ht="15.75" thickBot="1" x14ac:dyDescent="0.3">
      <c r="B14" s="3"/>
      <c r="C14" s="4"/>
      <c r="D14" s="4"/>
      <c r="E14" s="4"/>
      <c r="F14" s="3"/>
      <c r="G14" s="1"/>
      <c r="H14" s="1"/>
      <c r="K14" s="9" t="s">
        <v>35</v>
      </c>
    </row>
    <row r="15" spans="1:13" x14ac:dyDescent="0.25">
      <c r="B15" s="3"/>
      <c r="C15" s="4"/>
      <c r="D15" s="4"/>
      <c r="E15" s="4"/>
      <c r="F15" s="3"/>
      <c r="G15" s="1"/>
      <c r="H15" s="1"/>
      <c r="K15" t="s">
        <v>6</v>
      </c>
      <c r="L15" s="5">
        <f>SUMIFS(C:C,F:F,"X")</f>
        <v>3.0300000000000002</v>
      </c>
      <c r="M15" s="6">
        <f>L15/SUM($L$15:$L$17)</f>
        <v>0.33666666666666667</v>
      </c>
    </row>
    <row r="16" spans="1:13" x14ac:dyDescent="0.25">
      <c r="B16" s="3"/>
      <c r="C16" s="4"/>
      <c r="D16" s="4"/>
      <c r="E16" s="4"/>
      <c r="F16" s="3"/>
      <c r="G16" s="1"/>
      <c r="H16" s="1"/>
      <c r="K16" t="s">
        <v>7</v>
      </c>
      <c r="L16" s="5">
        <f>SUMIFS(D:D,F:F,"X")</f>
        <v>2.85</v>
      </c>
      <c r="M16" s="6">
        <f>L16/SUM($L$15:$L$18)</f>
        <v>0.31666666666666665</v>
      </c>
    </row>
    <row r="17" spans="1:15" x14ac:dyDescent="0.25">
      <c r="B17" s="3"/>
      <c r="C17" s="4"/>
      <c r="D17" s="4"/>
      <c r="E17" s="4"/>
      <c r="F17" s="3"/>
      <c r="G17" s="1"/>
      <c r="H17" s="1"/>
      <c r="K17" s="10" t="s">
        <v>8</v>
      </c>
      <c r="L17" s="5">
        <f>SUMIFS(E:E,F:F,"X")</f>
        <v>3.12</v>
      </c>
      <c r="M17" s="6">
        <f>L17/SUM($L$15:$L$18)</f>
        <v>0.34666666666666668</v>
      </c>
    </row>
    <row r="18" spans="1:15" x14ac:dyDescent="0.25">
      <c r="B18" s="3"/>
      <c r="C18" s="4"/>
      <c r="D18" s="4"/>
      <c r="E18" s="4"/>
      <c r="F18" s="3"/>
      <c r="G18" s="1"/>
      <c r="H18" s="1"/>
    </row>
    <row r="19" spans="1:15" x14ac:dyDescent="0.25">
      <c r="B19" s="3"/>
      <c r="C19" s="4"/>
      <c r="D19" s="4"/>
      <c r="E19" s="4"/>
      <c r="F19" s="3"/>
      <c r="G19" s="1"/>
      <c r="H19" s="1"/>
    </row>
    <row r="20" spans="1:15" ht="18" thickBot="1" x14ac:dyDescent="0.35">
      <c r="B20" s="3"/>
      <c r="C20" s="4"/>
      <c r="D20" s="4"/>
      <c r="E20" s="4"/>
      <c r="F20" s="3"/>
      <c r="G20" s="1"/>
      <c r="H20" s="1"/>
      <c r="K20" s="8" t="s">
        <v>38</v>
      </c>
    </row>
    <row r="21" spans="1:15" ht="15.75" thickTop="1" x14ac:dyDescent="0.25">
      <c r="F21" t="s">
        <v>147</v>
      </c>
      <c r="L21" s="36" t="s">
        <v>39</v>
      </c>
      <c r="M21" s="36"/>
      <c r="N21" s="36"/>
      <c r="O21" s="36"/>
    </row>
    <row r="22" spans="1:15" ht="15.75" thickBot="1" x14ac:dyDescent="0.3">
      <c r="K22" s="9" t="s">
        <v>40</v>
      </c>
      <c r="L22" t="s">
        <v>148</v>
      </c>
      <c r="M22" t="s">
        <v>149</v>
      </c>
      <c r="N22" t="s">
        <v>150</v>
      </c>
      <c r="O22" t="s">
        <v>151</v>
      </c>
    </row>
    <row r="23" spans="1:15" ht="127.15" customHeight="1" x14ac:dyDescent="0.25">
      <c r="A23" t="s">
        <v>147</v>
      </c>
      <c r="K23" s="10" t="s">
        <v>6</v>
      </c>
      <c r="L23" s="21" t="s">
        <v>152</v>
      </c>
      <c r="M23" s="21" t="s">
        <v>153</v>
      </c>
      <c r="N23" s="21" t="s">
        <v>154</v>
      </c>
      <c r="O23" s="21" t="s">
        <v>155</v>
      </c>
    </row>
    <row r="24" spans="1:15" ht="123.6" customHeight="1" x14ac:dyDescent="0.25">
      <c r="K24" s="10" t="s">
        <v>7</v>
      </c>
      <c r="L24" s="21" t="s">
        <v>156</v>
      </c>
      <c r="M24" s="21" t="s">
        <v>157</v>
      </c>
      <c r="N24" s="29" t="s">
        <v>158</v>
      </c>
      <c r="O24" s="21" t="s">
        <v>159</v>
      </c>
    </row>
    <row r="25" spans="1:15" ht="117.75" customHeight="1" x14ac:dyDescent="0.25">
      <c r="K25" s="10" t="s">
        <v>8</v>
      </c>
      <c r="L25" s="21" t="s">
        <v>160</v>
      </c>
      <c r="M25" s="21" t="s">
        <v>161</v>
      </c>
      <c r="N25" s="22" t="s">
        <v>162</v>
      </c>
      <c r="O25" s="21" t="s">
        <v>163</v>
      </c>
    </row>
    <row r="26" spans="1:15" ht="21.75" customHeight="1" x14ac:dyDescent="0.25">
      <c r="K26" t="s">
        <v>56</v>
      </c>
      <c r="L26" s="7" t="s">
        <v>57</v>
      </c>
      <c r="M26" s="7" t="s">
        <v>57</v>
      </c>
      <c r="N26" s="7" t="s">
        <v>57</v>
      </c>
      <c r="O26" s="7" t="s">
        <v>57</v>
      </c>
    </row>
    <row r="27" spans="1:15" x14ac:dyDescent="0.25">
      <c r="K27" t="s">
        <v>58</v>
      </c>
      <c r="L27" s="7" t="s">
        <v>57</v>
      </c>
      <c r="M27" s="7" t="s">
        <v>57</v>
      </c>
      <c r="N27" s="7" t="s">
        <v>57</v>
      </c>
      <c r="O27" s="7" t="s">
        <v>57</v>
      </c>
    </row>
    <row r="30" spans="1:15" ht="15.75" thickBot="1" x14ac:dyDescent="0.3">
      <c r="K30" s="9" t="s">
        <v>59</v>
      </c>
    </row>
    <row r="31" spans="1:15" ht="44.45" customHeight="1" x14ac:dyDescent="0.25">
      <c r="K31" s="10" t="s">
        <v>60</v>
      </c>
      <c r="L31" s="25" t="s">
        <v>164</v>
      </c>
      <c r="M31" s="26"/>
      <c r="N31" s="26"/>
      <c r="O31" s="27"/>
    </row>
    <row r="32" spans="1:15" ht="45" customHeight="1" x14ac:dyDescent="0.25">
      <c r="K32" s="10" t="s">
        <v>62</v>
      </c>
      <c r="L32" s="32" t="s">
        <v>165</v>
      </c>
      <c r="M32" s="33"/>
      <c r="N32" s="33"/>
      <c r="O32" s="34"/>
    </row>
    <row r="34" spans="11:15" ht="15.75" thickBot="1" x14ac:dyDescent="0.3">
      <c r="K34" s="9" t="s">
        <v>64</v>
      </c>
    </row>
    <row r="35" spans="11:15" ht="31.15" customHeight="1" x14ac:dyDescent="0.25">
      <c r="K35" s="10" t="s">
        <v>65</v>
      </c>
      <c r="L35" s="32" t="s">
        <v>166</v>
      </c>
      <c r="M35" s="33"/>
      <c r="N35" s="33"/>
      <c r="O35" s="34"/>
    </row>
    <row r="36" spans="11:15" ht="30.6" customHeight="1" x14ac:dyDescent="0.25">
      <c r="K36" s="10" t="s">
        <v>67</v>
      </c>
      <c r="L36" s="32" t="s">
        <v>167</v>
      </c>
      <c r="M36" s="33"/>
      <c r="N36" s="33"/>
      <c r="O36" s="34"/>
    </row>
    <row r="37" spans="11:15" ht="31.15" customHeight="1" x14ac:dyDescent="0.25">
      <c r="K37" s="10" t="s">
        <v>69</v>
      </c>
      <c r="L37" s="32" t="s">
        <v>168</v>
      </c>
      <c r="M37" s="33"/>
      <c r="N37" s="33"/>
      <c r="O37" s="34"/>
    </row>
    <row r="38" spans="11:15" x14ac:dyDescent="0.25">
      <c r="K38" s="10"/>
      <c r="L38" s="10"/>
      <c r="M38" s="10"/>
      <c r="N38" s="10"/>
      <c r="O38" s="10"/>
    </row>
    <row r="39" spans="11:15" ht="31.15" customHeight="1" x14ac:dyDescent="0.25">
      <c r="K39" s="10" t="s">
        <v>71</v>
      </c>
      <c r="L39" s="32" t="s">
        <v>169</v>
      </c>
      <c r="M39" s="33"/>
      <c r="N39" s="33"/>
      <c r="O39" s="34"/>
    </row>
  </sheetData>
  <mergeCells count="7">
    <mergeCell ref="L39:O39"/>
    <mergeCell ref="B1:I1"/>
    <mergeCell ref="L21:O21"/>
    <mergeCell ref="L32:O32"/>
    <mergeCell ref="L35:O35"/>
    <mergeCell ref="L36:O36"/>
    <mergeCell ref="L37:O37"/>
  </mergeCells>
  <phoneticPr fontId="1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1CC4-4E27-4A56-818E-14393DC36A81}">
  <dimension ref="A1:O39"/>
  <sheetViews>
    <sheetView topLeftCell="A10" zoomScale="130" zoomScaleNormal="130" workbookViewId="0">
      <selection activeCell="L24" sqref="L24"/>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0" max="10" width="9.140625"/>
    <col min="11" max="11" width="47.5703125" bestFit="1" customWidth="1"/>
    <col min="12" max="12" width="35.5703125" customWidth="1"/>
    <col min="13" max="13" width="31.7109375" customWidth="1"/>
    <col min="14" max="14" width="26.7109375" customWidth="1"/>
    <col min="15" max="15" width="29.28515625" customWidth="1"/>
  </cols>
  <sheetData>
    <row r="1" spans="1:13" ht="17.25" x14ac:dyDescent="0.3">
      <c r="A1" s="20" t="s">
        <v>170</v>
      </c>
      <c r="B1" s="35"/>
      <c r="C1" s="35"/>
      <c r="D1" s="35"/>
      <c r="E1" s="35"/>
      <c r="F1" s="35"/>
      <c r="G1" s="35"/>
      <c r="H1" s="35"/>
      <c r="I1" s="35"/>
      <c r="K1" s="8" t="s">
        <v>2</v>
      </c>
    </row>
    <row r="2" spans="1:13" x14ac:dyDescent="0.25">
      <c r="K2" t="s">
        <v>3</v>
      </c>
      <c r="L2" s="5">
        <f>AVERAGEIFS(G:G,F:F, "X", B:B, "Récit")</f>
        <v>3.6666666666666665</v>
      </c>
    </row>
    <row r="3" spans="1:13" x14ac:dyDescent="0.25">
      <c r="A3" s="2" t="s">
        <v>4</v>
      </c>
      <c r="B3" s="2" t="s">
        <v>5</v>
      </c>
      <c r="C3" s="2" t="s">
        <v>6</v>
      </c>
      <c r="D3" s="2" t="s">
        <v>7</v>
      </c>
      <c r="E3" s="2" t="s">
        <v>8</v>
      </c>
      <c r="F3" s="2" t="s">
        <v>9</v>
      </c>
      <c r="G3" s="2" t="s">
        <v>10</v>
      </c>
      <c r="H3" s="2" t="s">
        <v>11</v>
      </c>
      <c r="K3" t="s">
        <v>12</v>
      </c>
      <c r="L3" s="5">
        <f>AVERAGEIFS(G:G,F:F, "X", B:B, "Tâche")</f>
        <v>1.5714285714285714</v>
      </c>
    </row>
    <row r="4" spans="1:13" x14ac:dyDescent="0.25">
      <c r="A4" s="30" t="s">
        <v>171</v>
      </c>
      <c r="B4" s="3" t="s">
        <v>18</v>
      </c>
      <c r="C4" s="4"/>
      <c r="D4" s="4"/>
      <c r="E4" s="4"/>
      <c r="F4" s="3" t="s">
        <v>138</v>
      </c>
      <c r="G4" s="16">
        <v>3</v>
      </c>
      <c r="H4" s="16">
        <v>4</v>
      </c>
      <c r="K4" t="s">
        <v>16</v>
      </c>
      <c r="L4" s="5">
        <f>COUNTIFS(F:F, "X", B:B, "Récit")</f>
        <v>3</v>
      </c>
    </row>
    <row r="5" spans="1:13" x14ac:dyDescent="0.25">
      <c r="A5" t="s">
        <v>172</v>
      </c>
      <c r="B5" s="3" t="s">
        <v>21</v>
      </c>
      <c r="C5" s="4"/>
      <c r="D5" s="4"/>
      <c r="E5" s="4">
        <v>1</v>
      </c>
      <c r="F5" s="3" t="s">
        <v>138</v>
      </c>
      <c r="G5" s="1">
        <v>1</v>
      </c>
      <c r="H5" s="1">
        <v>1</v>
      </c>
      <c r="K5" t="s">
        <v>19</v>
      </c>
      <c r="L5" s="5">
        <f>COUNTIFS(F:F, "X", B:B, "Tâche")</f>
        <v>8</v>
      </c>
    </row>
    <row r="6" spans="1:13" x14ac:dyDescent="0.25">
      <c r="A6" t="s">
        <v>173</v>
      </c>
      <c r="B6" s="3" t="s">
        <v>21</v>
      </c>
      <c r="C6" s="4">
        <v>0.4</v>
      </c>
      <c r="D6" s="4"/>
      <c r="E6" s="4">
        <v>0.6</v>
      </c>
      <c r="F6" s="4" t="s">
        <v>138</v>
      </c>
      <c r="G6" s="1">
        <v>2</v>
      </c>
      <c r="H6" s="1">
        <v>3</v>
      </c>
    </row>
    <row r="7" spans="1:13" x14ac:dyDescent="0.25">
      <c r="A7" t="s">
        <v>174</v>
      </c>
      <c r="B7" s="3" t="s">
        <v>18</v>
      </c>
      <c r="C7" s="4"/>
      <c r="D7" s="4"/>
      <c r="E7" s="4"/>
      <c r="F7" s="3" t="s">
        <v>138</v>
      </c>
      <c r="G7" s="1">
        <v>6</v>
      </c>
      <c r="H7" s="1">
        <v>7</v>
      </c>
      <c r="K7" s="9" t="s">
        <v>23</v>
      </c>
    </row>
    <row r="8" spans="1:13" x14ac:dyDescent="0.25">
      <c r="A8" t="s">
        <v>175</v>
      </c>
      <c r="B8" s="3" t="s">
        <v>21</v>
      </c>
      <c r="C8" s="4">
        <v>0.35</v>
      </c>
      <c r="D8" s="4">
        <v>0.35</v>
      </c>
      <c r="E8" s="4">
        <v>0.3</v>
      </c>
      <c r="F8" s="4" t="s">
        <v>138</v>
      </c>
      <c r="G8" s="1">
        <v>2</v>
      </c>
      <c r="H8" s="1">
        <v>2</v>
      </c>
      <c r="K8" t="s">
        <v>25</v>
      </c>
      <c r="L8" s="5">
        <f>COUNTIF(B:B,"Récit")</f>
        <v>3</v>
      </c>
    </row>
    <row r="9" spans="1:13" x14ac:dyDescent="0.25">
      <c r="A9" t="s">
        <v>176</v>
      </c>
      <c r="B9" s="3" t="s">
        <v>21</v>
      </c>
      <c r="C9" s="4">
        <v>0.6</v>
      </c>
      <c r="D9" s="4">
        <v>0.2</v>
      </c>
      <c r="E9" s="4">
        <v>0.2</v>
      </c>
      <c r="F9" s="4" t="s">
        <v>138</v>
      </c>
      <c r="G9" s="1">
        <v>2</v>
      </c>
      <c r="H9" s="1">
        <v>2</v>
      </c>
      <c r="K9" t="s">
        <v>27</v>
      </c>
      <c r="L9" s="5">
        <f>COUNTIF(B:B, "Tâche")</f>
        <v>8</v>
      </c>
    </row>
    <row r="10" spans="1:13" x14ac:dyDescent="0.25">
      <c r="A10" t="s">
        <v>177</v>
      </c>
      <c r="B10" s="3" t="s">
        <v>21</v>
      </c>
      <c r="C10" s="4"/>
      <c r="D10" s="4">
        <v>0.9</v>
      </c>
      <c r="E10" s="4">
        <v>0.1</v>
      </c>
      <c r="F10" s="4" t="s">
        <v>138</v>
      </c>
      <c r="G10" s="1">
        <v>2</v>
      </c>
      <c r="H10" s="1">
        <v>3</v>
      </c>
    </row>
    <row r="11" spans="1:13" x14ac:dyDescent="0.25">
      <c r="A11" t="s">
        <v>178</v>
      </c>
      <c r="B11" s="3" t="s">
        <v>18</v>
      </c>
      <c r="C11" s="4"/>
      <c r="D11" s="4"/>
      <c r="E11" s="4"/>
      <c r="F11" s="4" t="s">
        <v>138</v>
      </c>
      <c r="G11" s="1">
        <v>2</v>
      </c>
      <c r="H11" s="1">
        <v>3</v>
      </c>
      <c r="K11" t="s">
        <v>30</v>
      </c>
      <c r="L11" s="6">
        <f>L4/L8</f>
        <v>1</v>
      </c>
    </row>
    <row r="12" spans="1:13" x14ac:dyDescent="0.25">
      <c r="A12" t="s">
        <v>179</v>
      </c>
      <c r="B12" s="3" t="s">
        <v>21</v>
      </c>
      <c r="C12" s="3"/>
      <c r="D12" s="4">
        <v>1</v>
      </c>
      <c r="E12" s="4"/>
      <c r="F12" s="3" t="s">
        <v>138</v>
      </c>
      <c r="G12" s="1">
        <v>1</v>
      </c>
      <c r="H12" s="1">
        <v>1</v>
      </c>
      <c r="K12" t="s">
        <v>32</v>
      </c>
      <c r="L12" s="6">
        <f>L5/L9</f>
        <v>1</v>
      </c>
    </row>
    <row r="13" spans="1:13" x14ac:dyDescent="0.25">
      <c r="A13" t="s">
        <v>180</v>
      </c>
      <c r="B13" s="3" t="s">
        <v>21</v>
      </c>
      <c r="C13" s="4"/>
      <c r="D13" s="4"/>
      <c r="E13" s="4"/>
      <c r="F13" s="3" t="s">
        <v>138</v>
      </c>
      <c r="G13" s="1"/>
      <c r="H13" s="1"/>
    </row>
    <row r="14" spans="1:13" x14ac:dyDescent="0.25">
      <c r="A14" t="s">
        <v>181</v>
      </c>
      <c r="B14" s="3" t="s">
        <v>21</v>
      </c>
      <c r="C14" s="4">
        <v>0.4</v>
      </c>
      <c r="D14" s="4"/>
      <c r="E14" s="4">
        <v>0.6</v>
      </c>
      <c r="F14" s="3" t="s">
        <v>138</v>
      </c>
      <c r="G14" s="1">
        <v>1</v>
      </c>
      <c r="H14" s="1">
        <v>2</v>
      </c>
      <c r="K14" s="9" t="s">
        <v>35</v>
      </c>
    </row>
    <row r="15" spans="1:13" x14ac:dyDescent="0.25">
      <c r="B15" s="3"/>
      <c r="C15" s="4"/>
      <c r="D15" s="4"/>
      <c r="E15" s="4"/>
      <c r="F15" s="3"/>
      <c r="G15" s="1"/>
      <c r="H15" s="1"/>
      <c r="K15" t="s">
        <v>6</v>
      </c>
      <c r="L15" s="5">
        <f>SUMIFS(C:C,F:F,"X")</f>
        <v>1.75</v>
      </c>
      <c r="M15" s="6">
        <f>L15/SUM($L$15:$L$17)</f>
        <v>0.25</v>
      </c>
    </row>
    <row r="16" spans="1:13" x14ac:dyDescent="0.25">
      <c r="B16" s="3"/>
      <c r="C16" s="4"/>
      <c r="D16" s="4"/>
      <c r="E16" s="4"/>
      <c r="F16" s="3"/>
      <c r="G16" s="1"/>
      <c r="H16" s="1"/>
      <c r="K16" t="s">
        <v>7</v>
      </c>
      <c r="L16" s="5">
        <f>SUMIFS(D:D,F:F,"X")</f>
        <v>2.4500000000000002</v>
      </c>
      <c r="M16" s="6">
        <f>L16/SUM($L$15:$L$18)</f>
        <v>0.35000000000000003</v>
      </c>
    </row>
    <row r="17" spans="2:15" x14ac:dyDescent="0.25">
      <c r="B17" s="3"/>
      <c r="C17" s="4"/>
      <c r="D17" s="4"/>
      <c r="E17" s="4"/>
      <c r="F17" s="3"/>
      <c r="G17" s="1"/>
      <c r="H17" s="1"/>
      <c r="K17" s="10" t="s">
        <v>8</v>
      </c>
      <c r="L17" s="5">
        <f>SUMIFS(E:E,F:F,"X")</f>
        <v>2.8000000000000003</v>
      </c>
      <c r="M17" s="6">
        <f>L17/SUM($L$15:$L$18)</f>
        <v>0.4</v>
      </c>
    </row>
    <row r="18" spans="2:15" x14ac:dyDescent="0.25">
      <c r="B18" s="3"/>
      <c r="C18" s="4"/>
      <c r="D18" s="4"/>
      <c r="E18" s="4"/>
      <c r="F18" s="3"/>
      <c r="G18" s="1"/>
      <c r="H18" s="1"/>
    </row>
    <row r="19" spans="2:15" x14ac:dyDescent="0.25">
      <c r="B19" s="3"/>
      <c r="C19" s="4"/>
      <c r="D19" s="4"/>
      <c r="E19" s="4"/>
      <c r="F19" s="3"/>
      <c r="G19" s="1"/>
      <c r="H19" s="1"/>
    </row>
    <row r="20" spans="2:15" ht="17.25" x14ac:dyDescent="0.3">
      <c r="B20" s="3"/>
      <c r="C20" s="4"/>
      <c r="D20" s="4"/>
      <c r="E20" s="4"/>
      <c r="F20" s="3"/>
      <c r="G20" s="1"/>
      <c r="H20" s="1"/>
      <c r="K20" s="8" t="s">
        <v>38</v>
      </c>
    </row>
    <row r="21" spans="2:15" x14ac:dyDescent="0.25">
      <c r="F21" t="s">
        <v>147</v>
      </c>
      <c r="L21" s="36" t="s">
        <v>39</v>
      </c>
      <c r="M21" s="36"/>
      <c r="N21" s="36"/>
      <c r="O21" s="36"/>
    </row>
    <row r="22" spans="2:15" x14ac:dyDescent="0.25">
      <c r="K22" s="9" t="s">
        <v>40</v>
      </c>
      <c r="L22" s="31">
        <v>1</v>
      </c>
      <c r="M22" s="31">
        <v>2</v>
      </c>
      <c r="N22" s="31">
        <v>3</v>
      </c>
      <c r="O22" s="31">
        <v>4</v>
      </c>
    </row>
    <row r="23" spans="2:15" ht="128.25" customHeight="1" x14ac:dyDescent="0.25">
      <c r="K23" s="10" t="s">
        <v>6</v>
      </c>
      <c r="L23" s="21" t="s">
        <v>182</v>
      </c>
      <c r="M23" s="21" t="s">
        <v>183</v>
      </c>
      <c r="N23" s="21" t="s">
        <v>184</v>
      </c>
      <c r="O23" s="21" t="s">
        <v>185</v>
      </c>
    </row>
    <row r="24" spans="2:15" ht="123.6" customHeight="1" x14ac:dyDescent="0.25">
      <c r="K24" s="10" t="s">
        <v>7</v>
      </c>
      <c r="L24" s="21" t="s">
        <v>186</v>
      </c>
      <c r="M24" s="21" t="s">
        <v>187</v>
      </c>
      <c r="N24" s="21" t="s">
        <v>188</v>
      </c>
      <c r="O24" s="21" t="s">
        <v>189</v>
      </c>
    </row>
    <row r="25" spans="2:15" ht="117.75" customHeight="1" x14ac:dyDescent="0.25">
      <c r="K25" s="10" t="s">
        <v>8</v>
      </c>
      <c r="L25" s="21" t="s">
        <v>190</v>
      </c>
      <c r="M25" s="21" t="s">
        <v>191</v>
      </c>
      <c r="N25" s="21" t="s">
        <v>192</v>
      </c>
      <c r="O25" s="21" t="s">
        <v>193</v>
      </c>
    </row>
    <row r="26" spans="2:15" ht="21.75" customHeight="1" x14ac:dyDescent="0.25">
      <c r="K26" t="s">
        <v>56</v>
      </c>
      <c r="L26" s="7" t="s">
        <v>57</v>
      </c>
      <c r="M26" s="7" t="s">
        <v>57</v>
      </c>
      <c r="N26" s="7" t="s">
        <v>57</v>
      </c>
      <c r="O26" s="7" t="s">
        <v>57</v>
      </c>
    </row>
    <row r="27" spans="2:15" x14ac:dyDescent="0.25">
      <c r="K27" t="s">
        <v>58</v>
      </c>
      <c r="L27" s="7" t="s">
        <v>57</v>
      </c>
      <c r="M27" s="7" t="s">
        <v>57</v>
      </c>
      <c r="N27" s="7" t="s">
        <v>57</v>
      </c>
      <c r="O27" s="7" t="s">
        <v>57</v>
      </c>
    </row>
    <row r="30" spans="2:15" x14ac:dyDescent="0.25">
      <c r="K30" s="9" t="s">
        <v>59</v>
      </c>
    </row>
    <row r="31" spans="2:15" ht="44.45" customHeight="1" x14ac:dyDescent="0.25">
      <c r="K31" s="10" t="s">
        <v>60</v>
      </c>
      <c r="L31" s="25" t="s">
        <v>194</v>
      </c>
      <c r="M31" s="26"/>
      <c r="N31" s="26"/>
      <c r="O31" s="27"/>
    </row>
    <row r="32" spans="2:15" ht="45" customHeight="1" x14ac:dyDescent="0.25">
      <c r="K32" s="10" t="s">
        <v>62</v>
      </c>
      <c r="L32" s="32" t="s">
        <v>57</v>
      </c>
      <c r="M32" s="33"/>
      <c r="N32" s="33"/>
      <c r="O32" s="34"/>
    </row>
    <row r="34" spans="11:15" x14ac:dyDescent="0.25">
      <c r="K34" s="9" t="s">
        <v>64</v>
      </c>
    </row>
    <row r="35" spans="11:15" ht="31.15" customHeight="1" x14ac:dyDescent="0.25">
      <c r="K35" s="10" t="s">
        <v>65</v>
      </c>
      <c r="L35" s="32" t="s">
        <v>195</v>
      </c>
      <c r="M35" s="33"/>
      <c r="N35" s="33"/>
      <c r="O35" s="34"/>
    </row>
    <row r="36" spans="11:15" ht="30.6" customHeight="1" x14ac:dyDescent="0.25">
      <c r="K36" s="10" t="s">
        <v>67</v>
      </c>
      <c r="L36" s="32" t="s">
        <v>196</v>
      </c>
      <c r="M36" s="33"/>
      <c r="N36" s="33"/>
      <c r="O36" s="34"/>
    </row>
    <row r="37" spans="11:15" ht="31.15" customHeight="1" x14ac:dyDescent="0.25">
      <c r="K37" s="10" t="s">
        <v>69</v>
      </c>
      <c r="L37" s="40" t="s">
        <v>197</v>
      </c>
      <c r="M37" s="41"/>
      <c r="N37" s="41"/>
      <c r="O37" s="42"/>
    </row>
    <row r="38" spans="11:15" x14ac:dyDescent="0.25">
      <c r="K38" s="10"/>
      <c r="L38" s="10"/>
      <c r="M38" s="10"/>
      <c r="N38" s="10"/>
      <c r="O38" s="10"/>
    </row>
    <row r="39" spans="11:15" ht="31.15" customHeight="1" x14ac:dyDescent="0.25">
      <c r="K39" s="10" t="s">
        <v>71</v>
      </c>
      <c r="L39" s="32" t="s">
        <v>198</v>
      </c>
      <c r="M39" s="33"/>
      <c r="N39" s="33"/>
      <c r="O39" s="34"/>
    </row>
  </sheetData>
  <mergeCells count="7">
    <mergeCell ref="L39:O39"/>
    <mergeCell ref="B1:I1"/>
    <mergeCell ref="L21:O21"/>
    <mergeCell ref="L32:O32"/>
    <mergeCell ref="L35:O35"/>
    <mergeCell ref="L36:O36"/>
    <mergeCell ref="L37:O37"/>
  </mergeCells>
  <phoneticPr fontId="15" type="noConversion"/>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40DE-E199-4DF3-9F08-2582B3D37999}">
  <dimension ref="A1:O39"/>
  <sheetViews>
    <sheetView tabSelected="1" zoomScale="130" zoomScaleNormal="130" workbookViewId="0">
      <selection activeCell="A12" sqref="A12"/>
    </sheetView>
  </sheetViews>
  <sheetFormatPr baseColWidth="10" defaultColWidth="8.85546875" defaultRowHeight="15" x14ac:dyDescent="0.25"/>
  <cols>
    <col min="1" max="1" width="66.42578125" bestFit="1" customWidth="1"/>
    <col min="2" max="2" width="21.85546875" bestFit="1" customWidth="1"/>
    <col min="3" max="6" width="10.28515625" customWidth="1"/>
    <col min="7" max="7" width="15.7109375" style="2" customWidth="1"/>
    <col min="8" max="8" width="14.42578125" bestFit="1" customWidth="1"/>
    <col min="9" max="9" width="14.42578125" customWidth="1"/>
    <col min="10" max="10" width="9.140625"/>
    <col min="11" max="11" width="47.5703125" bestFit="1" customWidth="1"/>
    <col min="12" max="12" width="35.5703125" customWidth="1"/>
    <col min="13" max="13" width="31.7109375" customWidth="1"/>
    <col min="14" max="14" width="26.7109375" customWidth="1"/>
    <col min="15" max="15" width="29.28515625" customWidth="1"/>
  </cols>
  <sheetData>
    <row r="1" spans="1:13" ht="17.25" x14ac:dyDescent="0.3">
      <c r="A1" s="20"/>
      <c r="B1" s="35"/>
      <c r="C1" s="35"/>
      <c r="D1" s="35"/>
      <c r="E1" s="35"/>
      <c r="F1" s="35"/>
      <c r="G1" s="35"/>
      <c r="H1" s="35"/>
      <c r="I1" s="35"/>
      <c r="K1" s="8" t="s">
        <v>2</v>
      </c>
    </row>
    <row r="2" spans="1:13" x14ac:dyDescent="0.25">
      <c r="K2" t="s">
        <v>3</v>
      </c>
      <c r="L2" s="5" t="e">
        <f>AVERAGEIFS(G:G,F:F, "X", B:B, "Récit")</f>
        <v>#DIV/0!</v>
      </c>
    </row>
    <row r="3" spans="1:13" x14ac:dyDescent="0.25">
      <c r="A3" s="2" t="s">
        <v>4</v>
      </c>
      <c r="B3" s="2" t="s">
        <v>5</v>
      </c>
      <c r="C3" s="2" t="s">
        <v>6</v>
      </c>
      <c r="D3" s="2" t="s">
        <v>7</v>
      </c>
      <c r="E3" s="2" t="s">
        <v>8</v>
      </c>
      <c r="F3" s="2" t="s">
        <v>9</v>
      </c>
      <c r="G3" s="2" t="s">
        <v>10</v>
      </c>
      <c r="H3" s="2" t="s">
        <v>11</v>
      </c>
      <c r="K3" t="s">
        <v>12</v>
      </c>
      <c r="L3" s="5" t="e">
        <f>AVERAGEIFS(G:G,F:F, "X", B:B, "Tâche")</f>
        <v>#DIV/0!</v>
      </c>
    </row>
    <row r="4" spans="1:13" x14ac:dyDescent="0.25">
      <c r="A4" t="s">
        <v>199</v>
      </c>
      <c r="B4" s="3" t="s">
        <v>18</v>
      </c>
      <c r="C4" s="4"/>
      <c r="D4" s="4"/>
      <c r="E4" s="4"/>
      <c r="F4" s="3"/>
      <c r="G4" s="16"/>
      <c r="H4" s="16"/>
      <c r="K4" t="s">
        <v>16</v>
      </c>
      <c r="L4" s="5">
        <f>COUNTIFS(F:F, "X", B:B, "Récit")</f>
        <v>0</v>
      </c>
    </row>
    <row r="5" spans="1:13" x14ac:dyDescent="0.25">
      <c r="A5" t="s">
        <v>200</v>
      </c>
      <c r="B5" s="3" t="s">
        <v>21</v>
      </c>
      <c r="C5" s="4"/>
      <c r="D5" s="4"/>
      <c r="E5" s="4"/>
      <c r="F5" s="3"/>
      <c r="G5" s="1"/>
      <c r="H5" s="1"/>
      <c r="K5" t="s">
        <v>19</v>
      </c>
      <c r="L5" s="5">
        <f>COUNTIFS(F:F, "X", B:B, "Tâche")</f>
        <v>0</v>
      </c>
    </row>
    <row r="6" spans="1:13" x14ac:dyDescent="0.25">
      <c r="A6" t="s">
        <v>201</v>
      </c>
      <c r="B6" s="3" t="s">
        <v>21</v>
      </c>
      <c r="C6" s="4"/>
      <c r="D6" s="4"/>
      <c r="E6" s="4"/>
      <c r="F6" s="4"/>
      <c r="G6" s="1"/>
      <c r="H6" s="1"/>
    </row>
    <row r="7" spans="1:13" x14ac:dyDescent="0.25">
      <c r="A7" t="s">
        <v>202</v>
      </c>
      <c r="B7" s="3" t="s">
        <v>21</v>
      </c>
      <c r="C7" s="4"/>
      <c r="D7" s="4"/>
      <c r="E7" s="4"/>
      <c r="F7" s="3"/>
      <c r="G7" s="1"/>
      <c r="H7" s="1"/>
      <c r="K7" s="9" t="s">
        <v>23</v>
      </c>
    </row>
    <row r="8" spans="1:13" x14ac:dyDescent="0.25">
      <c r="A8" t="s">
        <v>203</v>
      </c>
      <c r="B8" s="3" t="s">
        <v>21</v>
      </c>
      <c r="C8" s="4"/>
      <c r="D8" s="4"/>
      <c r="E8" s="4"/>
      <c r="F8" s="4"/>
      <c r="G8" s="1"/>
      <c r="H8" s="1"/>
      <c r="K8" t="s">
        <v>25</v>
      </c>
      <c r="L8" s="5">
        <f>COUNTIF(B:B,"Récit")</f>
        <v>2</v>
      </c>
    </row>
    <row r="9" spans="1:13" x14ac:dyDescent="0.25">
      <c r="A9" t="s">
        <v>204</v>
      </c>
      <c r="B9" s="3" t="s">
        <v>21</v>
      </c>
      <c r="C9" s="4"/>
      <c r="D9" s="4"/>
      <c r="E9" s="4"/>
      <c r="F9" s="4"/>
      <c r="G9" s="1"/>
      <c r="H9" s="1"/>
      <c r="K9" t="s">
        <v>27</v>
      </c>
      <c r="L9" s="5">
        <f>COUNTIF(B:B, "Tâche")</f>
        <v>11</v>
      </c>
    </row>
    <row r="10" spans="1:13" x14ac:dyDescent="0.25">
      <c r="A10" t="s">
        <v>205</v>
      </c>
      <c r="B10" s="3" t="s">
        <v>18</v>
      </c>
      <c r="C10" s="4"/>
      <c r="D10" s="4"/>
      <c r="E10" s="4"/>
      <c r="F10" s="4"/>
      <c r="G10" s="1"/>
      <c r="H10" s="1"/>
    </row>
    <row r="11" spans="1:13" x14ac:dyDescent="0.25">
      <c r="A11" t="s">
        <v>206</v>
      </c>
      <c r="B11" s="3" t="s">
        <v>21</v>
      </c>
      <c r="C11" s="4"/>
      <c r="D11" s="4"/>
      <c r="E11" s="4"/>
      <c r="F11" s="4"/>
      <c r="G11" s="1"/>
      <c r="H11" s="1"/>
      <c r="K11" t="s">
        <v>30</v>
      </c>
      <c r="L11" s="6">
        <f>L4/L8</f>
        <v>0</v>
      </c>
    </row>
    <row r="12" spans="1:13" x14ac:dyDescent="0.25">
      <c r="A12" t="s">
        <v>207</v>
      </c>
      <c r="B12" s="3" t="s">
        <v>21</v>
      </c>
      <c r="C12" s="4"/>
      <c r="D12" s="4"/>
      <c r="E12" s="4"/>
      <c r="F12" s="3"/>
      <c r="G12" s="1"/>
      <c r="H12" s="1"/>
      <c r="K12" t="s">
        <v>32</v>
      </c>
      <c r="L12" s="6">
        <f>L5/L9</f>
        <v>0</v>
      </c>
    </row>
    <row r="13" spans="1:13" x14ac:dyDescent="0.25">
      <c r="A13" t="s">
        <v>208</v>
      </c>
      <c r="B13" s="3" t="s">
        <v>21</v>
      </c>
      <c r="C13" s="4"/>
      <c r="D13" s="4"/>
      <c r="E13" s="4"/>
      <c r="F13" s="3"/>
      <c r="G13" s="1"/>
      <c r="H13" s="1"/>
    </row>
    <row r="14" spans="1:13" x14ac:dyDescent="0.25">
      <c r="A14" t="s">
        <v>209</v>
      </c>
      <c r="B14" s="3" t="s">
        <v>21</v>
      </c>
      <c r="C14" s="4"/>
      <c r="D14" s="4"/>
      <c r="E14" s="4"/>
      <c r="F14" s="3"/>
      <c r="G14" s="1"/>
      <c r="H14" s="1"/>
      <c r="K14" s="9" t="s">
        <v>35</v>
      </c>
    </row>
    <row r="15" spans="1:13" x14ac:dyDescent="0.25">
      <c r="A15" t="s">
        <v>210</v>
      </c>
      <c r="B15" s="3" t="s">
        <v>21</v>
      </c>
      <c r="C15" s="4"/>
      <c r="D15" s="4"/>
      <c r="E15" s="4"/>
      <c r="F15" s="3"/>
      <c r="G15" s="1"/>
      <c r="H15" s="1"/>
      <c r="K15" t="s">
        <v>6</v>
      </c>
      <c r="L15" s="5">
        <f>SUMIFS(C:C,F:F,"X")</f>
        <v>0</v>
      </c>
      <c r="M15" s="6" t="e">
        <f>L15/SUM($L$15:$L$17)</f>
        <v>#DIV/0!</v>
      </c>
    </row>
    <row r="16" spans="1:13" x14ac:dyDescent="0.25">
      <c r="A16" t="s">
        <v>211</v>
      </c>
      <c r="B16" s="3" t="s">
        <v>21</v>
      </c>
      <c r="C16" s="4"/>
      <c r="D16" s="4"/>
      <c r="E16" s="4"/>
      <c r="F16" s="3"/>
      <c r="G16" s="1"/>
      <c r="H16" s="1"/>
      <c r="K16" t="s">
        <v>7</v>
      </c>
      <c r="L16" s="5">
        <f>SUMIFS(D:D,F:F,"X")</f>
        <v>0</v>
      </c>
      <c r="M16" s="6" t="e">
        <f>L16/SUM($L$15:$L$18)</f>
        <v>#DIV/0!</v>
      </c>
    </row>
    <row r="17" spans="1:15" x14ac:dyDescent="0.25">
      <c r="A17" s="30"/>
      <c r="B17" s="3"/>
      <c r="C17" s="4"/>
      <c r="D17" s="4"/>
      <c r="E17" s="4"/>
      <c r="F17" s="3"/>
      <c r="G17" s="1"/>
      <c r="H17" s="1"/>
      <c r="K17" s="10" t="s">
        <v>8</v>
      </c>
      <c r="L17" s="5">
        <f>SUMIFS(E:E,F:F,"X")</f>
        <v>0</v>
      </c>
      <c r="M17" s="6" t="e">
        <f>L17/SUM($L$15:$L$18)</f>
        <v>#DIV/0!</v>
      </c>
    </row>
    <row r="18" spans="1:15" x14ac:dyDescent="0.25">
      <c r="B18" s="3"/>
      <c r="C18" s="4"/>
      <c r="D18" s="4"/>
      <c r="E18" s="4"/>
      <c r="F18" s="3"/>
      <c r="G18" s="1"/>
      <c r="H18" s="1"/>
    </row>
    <row r="19" spans="1:15" x14ac:dyDescent="0.25">
      <c r="B19" s="3"/>
      <c r="C19" s="4"/>
      <c r="D19" s="4"/>
      <c r="E19" s="4"/>
      <c r="F19" s="3"/>
      <c r="G19" s="1"/>
      <c r="H19" s="1"/>
    </row>
    <row r="20" spans="1:15" ht="17.25" x14ac:dyDescent="0.3">
      <c r="B20" s="3"/>
      <c r="C20" s="4"/>
      <c r="D20" s="4"/>
      <c r="E20" s="4"/>
      <c r="F20" s="3"/>
      <c r="G20" s="1"/>
      <c r="H20" s="1"/>
      <c r="K20" s="8" t="s">
        <v>38</v>
      </c>
    </row>
    <row r="21" spans="1:15" x14ac:dyDescent="0.25">
      <c r="F21" t="s">
        <v>147</v>
      </c>
      <c r="L21" s="36" t="s">
        <v>39</v>
      </c>
      <c r="M21" s="36"/>
      <c r="N21" s="36"/>
      <c r="O21" s="36"/>
    </row>
    <row r="22" spans="1:15" x14ac:dyDescent="0.25">
      <c r="K22" s="9" t="s">
        <v>40</v>
      </c>
      <c r="L22" s="31">
        <v>1</v>
      </c>
      <c r="M22" s="31">
        <v>2</v>
      </c>
      <c r="N22" s="31">
        <v>3</v>
      </c>
      <c r="O22" s="31">
        <v>4</v>
      </c>
    </row>
    <row r="23" spans="1:15" ht="128.25" customHeight="1" x14ac:dyDescent="0.25">
      <c r="K23" s="10" t="s">
        <v>6</v>
      </c>
      <c r="L23" s="22" t="s">
        <v>212</v>
      </c>
      <c r="M23" s="22" t="s">
        <v>212</v>
      </c>
      <c r="N23" s="22" t="s">
        <v>212</v>
      </c>
      <c r="O23" s="22" t="s">
        <v>212</v>
      </c>
    </row>
    <row r="24" spans="1:15" ht="123.6" customHeight="1" x14ac:dyDescent="0.25">
      <c r="K24" s="10" t="s">
        <v>7</v>
      </c>
      <c r="L24" s="22" t="s">
        <v>212</v>
      </c>
      <c r="M24" s="22" t="s">
        <v>212</v>
      </c>
      <c r="N24" s="22" t="s">
        <v>212</v>
      </c>
      <c r="O24" s="22" t="s">
        <v>212</v>
      </c>
    </row>
    <row r="25" spans="1:15" ht="117.75" customHeight="1" x14ac:dyDescent="0.25">
      <c r="K25" s="10" t="s">
        <v>8</v>
      </c>
      <c r="L25" s="22" t="s">
        <v>212</v>
      </c>
      <c r="M25" s="22" t="s">
        <v>212</v>
      </c>
      <c r="N25" s="22" t="s">
        <v>212</v>
      </c>
      <c r="O25" s="22" t="s">
        <v>212</v>
      </c>
    </row>
    <row r="26" spans="1:15" ht="21.75" customHeight="1" x14ac:dyDescent="0.25">
      <c r="K26" t="s">
        <v>56</v>
      </c>
      <c r="L26" s="7" t="s">
        <v>57</v>
      </c>
      <c r="M26" s="7" t="s">
        <v>57</v>
      </c>
      <c r="N26" s="7" t="s">
        <v>57</v>
      </c>
      <c r="O26" s="7" t="s">
        <v>57</v>
      </c>
    </row>
    <row r="27" spans="1:15" x14ac:dyDescent="0.25">
      <c r="K27" t="s">
        <v>58</v>
      </c>
      <c r="L27" s="7" t="s">
        <v>57</v>
      </c>
      <c r="M27" s="7" t="s">
        <v>57</v>
      </c>
      <c r="N27" s="7" t="s">
        <v>57</v>
      </c>
      <c r="O27" s="7" t="s">
        <v>57</v>
      </c>
    </row>
    <row r="30" spans="1:15" x14ac:dyDescent="0.25">
      <c r="K30" s="9" t="s">
        <v>59</v>
      </c>
    </row>
    <row r="31" spans="1:15" ht="44.45" customHeight="1" x14ac:dyDescent="0.25">
      <c r="K31" s="10" t="s">
        <v>60</v>
      </c>
      <c r="L31" s="25"/>
      <c r="M31" s="26"/>
      <c r="N31" s="26"/>
      <c r="O31" s="27"/>
    </row>
    <row r="32" spans="1:15" ht="45" customHeight="1" x14ac:dyDescent="0.25">
      <c r="K32" s="10" t="s">
        <v>62</v>
      </c>
      <c r="L32" s="32"/>
      <c r="M32" s="33"/>
      <c r="N32" s="33"/>
      <c r="O32" s="34"/>
    </row>
    <row r="34" spans="11:15" x14ac:dyDescent="0.25">
      <c r="K34" s="9" t="s">
        <v>64</v>
      </c>
    </row>
    <row r="35" spans="11:15" ht="31.15" customHeight="1" x14ac:dyDescent="0.25">
      <c r="K35" s="10" t="s">
        <v>65</v>
      </c>
      <c r="L35" s="32"/>
      <c r="M35" s="33"/>
      <c r="N35" s="33"/>
      <c r="O35" s="34"/>
    </row>
    <row r="36" spans="11:15" ht="30.6" customHeight="1" x14ac:dyDescent="0.25">
      <c r="K36" s="10" t="s">
        <v>67</v>
      </c>
      <c r="L36" s="32"/>
      <c r="M36" s="33"/>
      <c r="N36" s="33"/>
      <c r="O36" s="34"/>
    </row>
    <row r="37" spans="11:15" ht="31.15" customHeight="1" x14ac:dyDescent="0.25">
      <c r="K37" s="10" t="s">
        <v>69</v>
      </c>
      <c r="L37" s="40"/>
      <c r="M37" s="41"/>
      <c r="N37" s="41"/>
      <c r="O37" s="42"/>
    </row>
    <row r="38" spans="11:15" x14ac:dyDescent="0.25">
      <c r="K38" s="10"/>
      <c r="L38" s="10"/>
      <c r="M38" s="10"/>
      <c r="N38" s="10"/>
      <c r="O38" s="10"/>
    </row>
    <row r="39" spans="11:15" ht="31.15" customHeight="1" x14ac:dyDescent="0.25">
      <c r="K39" s="10" t="s">
        <v>71</v>
      </c>
      <c r="L39" s="32"/>
      <c r="M39" s="33"/>
      <c r="N39" s="33"/>
      <c r="O39" s="34"/>
    </row>
  </sheetData>
  <mergeCells count="7">
    <mergeCell ref="L39:O39"/>
    <mergeCell ref="B1:I1"/>
    <mergeCell ref="L21:O21"/>
    <mergeCell ref="L32:O32"/>
    <mergeCell ref="L35:O35"/>
    <mergeCell ref="L36:O36"/>
    <mergeCell ref="L37:O37"/>
  </mergeCells>
  <phoneticPr fontId="15" type="noConversion"/>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Sprint_1</vt:lpstr>
      <vt:lpstr>Sprint_2</vt:lpstr>
      <vt:lpstr>Sprint_3</vt:lpstr>
      <vt:lpstr>Sprint_4</vt:lpstr>
      <vt:lpstr>Sprint_5</vt:lpstr>
      <vt:lpstr>Sprint_6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Stéphane Lévesque</dc:creator>
  <cp:keywords/>
  <dc:description/>
  <cp:lastModifiedBy>Jucan, Denis Florin</cp:lastModifiedBy>
  <cp:revision/>
  <dcterms:created xsi:type="dcterms:W3CDTF">2024-08-18T18:39:34Z</dcterms:created>
  <dcterms:modified xsi:type="dcterms:W3CDTF">2024-11-14T20:28:42Z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615819-ba40-4aaf-a034-39fd1d37cddf_Enabled">
    <vt:lpwstr>true</vt:lpwstr>
  </property>
  <property fmtid="{D5CDD505-2E9C-101B-9397-08002B2CF9AE}" pid="3" name="MSIP_Label_6b615819-ba40-4aaf-a034-39fd1d37cddf_SetDate">
    <vt:lpwstr>2024-08-29T15:48:39Z</vt:lpwstr>
  </property>
  <property fmtid="{D5CDD505-2E9C-101B-9397-08002B2CF9AE}" pid="4" name="MSIP_Label_6b615819-ba40-4aaf-a034-39fd1d37cddf_Method">
    <vt:lpwstr>Standard</vt:lpwstr>
  </property>
  <property fmtid="{D5CDD505-2E9C-101B-9397-08002B2CF9AE}" pid="5" name="MSIP_Label_6b615819-ba40-4aaf-a034-39fd1d37cddf_Name">
    <vt:lpwstr>defa4170-0d19-0005-0004-bc88714345d2</vt:lpwstr>
  </property>
  <property fmtid="{D5CDD505-2E9C-101B-9397-08002B2CF9AE}" pid="6" name="MSIP_Label_6b615819-ba40-4aaf-a034-39fd1d37cddf_SiteId">
    <vt:lpwstr>f9182dd7-4234-41fb-9e9c-dd20d493b548</vt:lpwstr>
  </property>
  <property fmtid="{D5CDD505-2E9C-101B-9397-08002B2CF9AE}" pid="7" name="MSIP_Label_6b615819-ba40-4aaf-a034-39fd1d37cddf_ActionId">
    <vt:lpwstr>68bc2f7e-66e1-4e38-98cf-43cd4917e3a6</vt:lpwstr>
  </property>
  <property fmtid="{D5CDD505-2E9C-101B-9397-08002B2CF9AE}" pid="8" name="MSIP_Label_6b615819-ba40-4aaf-a034-39fd1d37cddf_ContentBits">
    <vt:lpwstr>0</vt:lpwstr>
  </property>
</Properties>
</file>