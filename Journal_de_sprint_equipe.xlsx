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26"/>
  <workbookPr/>
  <mc:AlternateContent xmlns:mc="http://schemas.openxmlformats.org/markup-compatibility/2006">
    <mc:Choice Requires="x15">
      <x15ac:absPath xmlns:x15ac="http://schemas.microsoft.com/office/spreadsheetml/2010/11/ac" url="D:\"/>
    </mc:Choice>
  </mc:AlternateContent>
  <xr:revisionPtr revIDLastSave="0" documentId="8_{4D6721DB-7B67-4A3A-97F7-474840700DBC}" xr6:coauthVersionLast="47" xr6:coauthVersionMax="47" xr10:uidLastSave="{00000000-0000-0000-0000-000000000000}"/>
  <bookViews>
    <workbookView xWindow="-120" yWindow="-120" windowWidth="29040" windowHeight="15840" tabRatio="258" xr2:uid="{6BF6013A-4C68-4CEF-BF49-8F7071437FDB}"/>
  </bookViews>
  <sheets>
    <sheet name="Exemple"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 i="1" l="1"/>
  <c r="L16" i="1"/>
  <c r="L15" i="1"/>
  <c r="L5" i="1"/>
  <c r="L3" i="1"/>
  <c r="L2" i="1"/>
  <c r="L4" i="1"/>
  <c r="H12" i="1"/>
  <c r="G12" i="1"/>
  <c r="H5" i="1"/>
  <c r="H4" i="1"/>
  <c r="G4" i="1"/>
  <c r="G5" i="1"/>
  <c r="L9" i="1"/>
  <c r="L8" i="1"/>
  <c r="L11" i="1" s="1"/>
  <c r="L12" i="1" l="1"/>
  <c r="M15" i="1" l="1"/>
  <c r="M17" i="1"/>
  <c r="M1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Stéphane Lévesque</author>
  </authors>
  <commentList>
    <comment ref="B3" authorId="0" shapeId="0" xr:uid="{1436BC68-6862-4DA3-AE73-44AC3E642BA5}">
      <text>
        <r>
          <rPr>
            <sz val="9"/>
            <color indexed="81"/>
            <rFont val="Tahoma"/>
            <family val="2"/>
          </rPr>
          <t>Utiliser:
Saga pour un ensemble de récits
Récit pour une fonction du point de vue de son usager
Tâche pour l'implantation d'une partie d'un récit, une correction de bug ou tout autre travail technique de nature non-fonctionnelle.
Respecter l'orthographe exact (majuscules et accents)</t>
        </r>
      </text>
    </comment>
    <comment ref="F3" authorId="0" shapeId="0" xr:uid="{55FB5F07-C4FD-43A5-B9B8-014378EB64E4}">
      <text>
        <r>
          <rPr>
            <sz val="9"/>
            <color indexed="81"/>
            <rFont val="Tahoma"/>
            <family val="2"/>
          </rPr>
          <t>Indiquer X (majuscule) si l'item est conforme à la Définition de Terminé</t>
        </r>
      </text>
    </comment>
    <comment ref="G3" authorId="0" shapeId="0" xr:uid="{1F37F235-0DAD-4706-AAD6-EB528448AC98}">
      <text>
        <r>
          <rPr>
            <sz val="9"/>
            <color indexed="81"/>
            <rFont val="Tahoma"/>
            <family val="2"/>
          </rPr>
          <t>Le nombre de jours entre le début et la fin du travail sur cet item (minimum 1)</t>
        </r>
      </text>
    </comment>
    <comment ref="H3" authorId="0" shapeId="0" xr:uid="{3D1EC365-15D5-4AD8-AE26-96600E8AB048}">
      <text>
        <r>
          <rPr>
            <sz val="9"/>
            <color indexed="81"/>
            <rFont val="Tahoma"/>
            <family val="2"/>
          </rPr>
          <t>Nombre de jours depuis le début du travail sur cet item (minimum 1)</t>
        </r>
      </text>
    </comment>
  </commentList>
</comments>
</file>

<file path=xl/sharedStrings.xml><?xml version="1.0" encoding="utf-8"?>
<sst xmlns="http://schemas.openxmlformats.org/spreadsheetml/2006/main" count="109" uniqueCount="72">
  <si>
    <t>Objectif de sprint: Fondation, Concevoir et Construire le Cadre du Site Web</t>
  </si>
  <si>
    <t>S'authentifier avec son compte usager</t>
  </si>
  <si>
    <t>Métriques de sprint</t>
  </si>
  <si>
    <t>Temps de cycle moyen (récits)</t>
  </si>
  <si>
    <t>Item planifié</t>
  </si>
  <si>
    <t>Type (Saga/Récit/Tâche)</t>
  </si>
  <si>
    <t>Denis</t>
  </si>
  <si>
    <t>Houssem</t>
  </si>
  <si>
    <t>Rosselle</t>
  </si>
  <si>
    <t>Terminé</t>
  </si>
  <si>
    <t>Temps de cycle</t>
  </si>
  <si>
    <t>Âge</t>
  </si>
  <si>
    <t>Temps de cycle moyen (tâches)</t>
  </si>
  <si>
    <t>Créer le Figma pour la conception UI</t>
  </si>
  <si>
    <t>Saga</t>
  </si>
  <si>
    <t>X</t>
  </si>
  <si>
    <t>Débit récits (sur 14 jours)</t>
  </si>
  <si>
    <t xml:space="preserve">  Design des pages </t>
  </si>
  <si>
    <t>Récit</t>
  </si>
  <si>
    <t>Débit tâches (sur 14 jours)</t>
  </si>
  <si>
    <t xml:space="preserve">     Page d'acceuil </t>
  </si>
  <si>
    <t>Tâche</t>
  </si>
  <si>
    <t xml:space="preserve">     Page de connexion</t>
  </si>
  <si>
    <t>Livraison</t>
  </si>
  <si>
    <t xml:space="preserve">     Page d'inscription</t>
  </si>
  <si>
    <t>Nombre de récits planifiés</t>
  </si>
  <si>
    <t xml:space="preserve">     Page de swipe</t>
  </si>
  <si>
    <t>Nombre de tâches planifiées</t>
  </si>
  <si>
    <t xml:space="preserve">    Page abonnement</t>
  </si>
  <si>
    <t>Design le logo du site web</t>
  </si>
  <si>
    <t>Récits terminés</t>
  </si>
  <si>
    <t>Conception base de données</t>
  </si>
  <si>
    <t>Tâches terminées</t>
  </si>
  <si>
    <t>Concevoir le modèle de la base de données</t>
  </si>
  <si>
    <t>Remplir la base de données</t>
  </si>
  <si>
    <t>Indice de contribution</t>
  </si>
  <si>
    <t>Lier la base de données au site</t>
  </si>
  <si>
    <t xml:space="preserve">Creation du serveur du site web </t>
  </si>
  <si>
    <t>Suivi de projet</t>
  </si>
  <si>
    <t>Période de cours</t>
  </si>
  <si>
    <t>Faits saillants du daily Scrum</t>
  </si>
  <si>
    <t>1 (29 Aout)</t>
  </si>
  <si>
    <t>2 (3 Sept)</t>
  </si>
  <si>
    <t>3 (5 sept)</t>
  </si>
  <si>
    <t>4 (10 sept, remise sprint 1)</t>
  </si>
  <si>
    <r>
      <rPr>
        <b/>
        <sz val="10"/>
        <color rgb="FF3F3F76"/>
        <rFont val="Aptos Narrow"/>
        <family val="2"/>
        <scheme val="minor"/>
      </rPr>
      <t>Progrès accomplis:</t>
    </r>
    <r>
      <rPr>
        <sz val="10"/>
        <color rgb="FF3F3F76"/>
        <rFont val="Aptos Narrow"/>
        <family val="2"/>
        <scheme val="minor"/>
      </rPr>
      <t xml:space="preserve"> Terminé la conception du modèle logique de la base de données                               </t>
    </r>
    <r>
      <rPr>
        <b/>
        <sz val="10"/>
        <color rgb="FF3F3F76"/>
        <rFont val="Aptos Narrow"/>
        <family val="2"/>
        <scheme val="minor"/>
      </rPr>
      <t>Objectifs pour la journée:</t>
    </r>
    <r>
      <rPr>
        <sz val="10"/>
        <color rgb="FF3F3F76"/>
        <rFont val="Aptos Narrow"/>
        <family val="2"/>
        <scheme val="minor"/>
      </rPr>
      <t xml:space="preserve"> Régler bug bdd &amp; commencer page connexion (Figma)                                                  </t>
    </r>
    <r>
      <rPr>
        <b/>
        <sz val="10"/>
        <color rgb="FF3F3F76"/>
        <rFont val="Aptos Narrow"/>
        <family val="2"/>
        <scheme val="minor"/>
      </rPr>
      <t xml:space="preserve">Obstacles rencontrés: </t>
    </r>
    <r>
      <rPr>
        <sz val="10"/>
        <color rgb="FF3F3F76"/>
        <rFont val="Aptos Narrow"/>
        <family val="2"/>
        <scheme val="minor"/>
      </rPr>
      <t xml:space="preserve">N/A                        </t>
    </r>
    <r>
      <rPr>
        <b/>
        <sz val="10"/>
        <color rgb="FF3F3F76"/>
        <rFont val="Aptos Narrow"/>
        <family val="2"/>
        <scheme val="minor"/>
      </rPr>
      <t>Actions Suivantes:</t>
    </r>
    <r>
      <rPr>
        <sz val="10"/>
        <color rgb="FF3F3F76"/>
        <rFont val="Aptos Narrow"/>
        <family val="2"/>
        <scheme val="minor"/>
      </rPr>
      <t xml:space="preserve"> N/A</t>
    </r>
  </si>
  <si>
    <t>Absent</t>
  </si>
  <si>
    <r>
      <rPr>
        <b/>
        <sz val="9"/>
        <color rgb="FF3F3F76"/>
        <rFont val="Aptos Narrow"/>
        <family val="2"/>
        <scheme val="minor"/>
      </rPr>
      <t>Progrès accomplis:</t>
    </r>
    <r>
      <rPr>
        <sz val="9"/>
        <color rgb="FF3F3F76"/>
        <rFont val="Aptos Narrow"/>
        <family val="2"/>
        <scheme val="minor"/>
      </rPr>
      <t xml:space="preserve">   Céer la page d'accueil et tester différents logiciels pour créer des dessins de cartes                     </t>
    </r>
    <r>
      <rPr>
        <b/>
        <sz val="9"/>
        <color rgb="FF3F3F76"/>
        <rFont val="Aptos Narrow"/>
        <family val="2"/>
        <scheme val="minor"/>
      </rPr>
      <t>Objectifs pour la journée:</t>
    </r>
    <r>
      <rPr>
        <sz val="9"/>
        <color rgb="FF3F3F76"/>
        <rFont val="Aptos Narrow"/>
        <family val="2"/>
        <scheme val="minor"/>
      </rPr>
      <t xml:space="preserve"> Trouver les cartes King, Queen, Ace et Joker pour la page d'accueil et commencer sa conception                                            </t>
    </r>
    <r>
      <rPr>
        <b/>
        <sz val="9"/>
        <color rgb="FF3F3F76"/>
        <rFont val="Aptos Narrow"/>
        <family val="2"/>
        <scheme val="minor"/>
      </rPr>
      <t xml:space="preserve"> Obstacles rencontrés:</t>
    </r>
    <r>
      <rPr>
        <sz val="9"/>
        <color rgb="FF3F3F76"/>
        <rFont val="Aptos Narrow"/>
        <family val="2"/>
        <scheme val="minor"/>
      </rPr>
      <t xml:space="preserve"> N/A                      </t>
    </r>
    <r>
      <rPr>
        <b/>
        <sz val="9"/>
        <color rgb="FF3F3F76"/>
        <rFont val="Aptos Narrow"/>
        <family val="2"/>
        <scheme val="minor"/>
      </rPr>
      <t xml:space="preserve">  Actions Suivantes:</t>
    </r>
    <r>
      <rPr>
        <sz val="9"/>
        <color rgb="FF3F3F76"/>
        <rFont val="Aptos Narrow"/>
        <family val="2"/>
        <scheme val="minor"/>
      </rPr>
      <t xml:space="preserve"> N/A</t>
    </r>
  </si>
  <si>
    <r>
      <rPr>
        <b/>
        <sz val="10"/>
        <color rgb="FF3F3F76"/>
        <rFont val="Aptos Narrow"/>
        <family val="2"/>
        <scheme val="minor"/>
      </rPr>
      <t>Progrès accomplis:</t>
    </r>
    <r>
      <rPr>
        <sz val="10"/>
        <color rgb="FF3F3F76"/>
        <rFont val="Aptos Narrow"/>
        <family val="2"/>
        <scheme val="minor"/>
      </rPr>
      <t xml:space="preserve"> Terminé la conception des pages et le document personnel                            </t>
    </r>
    <r>
      <rPr>
        <b/>
        <sz val="10"/>
        <color rgb="FF3F3F76"/>
        <rFont val="Aptos Narrow"/>
        <family val="2"/>
        <scheme val="minor"/>
      </rPr>
      <t xml:space="preserve">          Objectifs pour la journée:</t>
    </r>
    <r>
      <rPr>
        <sz val="10"/>
        <color rgb="FF3F3F76"/>
        <rFont val="Aptos Narrow"/>
        <family val="2"/>
        <scheme val="minor"/>
      </rPr>
      <t xml:space="preserve">  Finir conception des pages de connexion et d'inscription ainsi que le document personnel                                               </t>
    </r>
    <r>
      <rPr>
        <b/>
        <sz val="10"/>
        <color rgb="FF3F3F76"/>
        <rFont val="Aptos Narrow"/>
        <family val="2"/>
        <scheme val="minor"/>
      </rPr>
      <t>Obstacles rencontrés: N/A</t>
    </r>
    <r>
      <rPr>
        <sz val="10"/>
        <color rgb="FF3F3F76"/>
        <rFont val="Aptos Narrow"/>
        <family val="2"/>
        <scheme val="minor"/>
      </rPr>
      <t xml:space="preserve">                       </t>
    </r>
    <r>
      <rPr>
        <b/>
        <sz val="10"/>
        <color rgb="FF3F3F76"/>
        <rFont val="Aptos Narrow"/>
        <family val="2"/>
        <scheme val="minor"/>
      </rPr>
      <t xml:space="preserve"> Actions Suivantes: N/A</t>
    </r>
  </si>
  <si>
    <r>
      <rPr>
        <b/>
        <sz val="11"/>
        <color rgb="FF3F3F76"/>
        <rFont val="Aptos Narrow"/>
        <family val="2"/>
        <scheme val="minor"/>
      </rPr>
      <t xml:space="preserve">Progrès accomplis: </t>
    </r>
    <r>
      <rPr>
        <sz val="11"/>
        <color rgb="FF3F3F76"/>
        <rFont val="Aptos Narrow"/>
        <family val="2"/>
        <scheme val="minor"/>
      </rPr>
      <t xml:space="preserve">Terminé la conception du modèle logique de la base de données  </t>
    </r>
    <r>
      <rPr>
        <b/>
        <sz val="11"/>
        <color rgb="FF3F3F76"/>
        <rFont val="Aptos Narrow"/>
        <family val="2"/>
        <scheme val="minor"/>
      </rPr>
      <t xml:space="preserve">                 Objectifs pour la journée :</t>
    </r>
    <r>
      <rPr>
        <sz val="11"/>
        <color rgb="FF3F3F76"/>
        <rFont val="Aptos Narrow"/>
        <family val="2"/>
        <scheme val="minor"/>
      </rPr>
      <t xml:space="preserve">Finir la conception de la bdd.        </t>
    </r>
    <r>
      <rPr>
        <b/>
        <sz val="11"/>
        <color rgb="FF3F3F76"/>
        <rFont val="Aptos Narrow"/>
        <family val="2"/>
        <scheme val="minor"/>
      </rPr>
      <t xml:space="preserve">    Obstacles rencontrés:</t>
    </r>
    <r>
      <rPr>
        <sz val="11"/>
        <color rgb="FF3F3F76"/>
        <rFont val="Aptos Narrow"/>
        <family val="2"/>
        <scheme val="minor"/>
      </rPr>
      <t>N/A</t>
    </r>
    <r>
      <rPr>
        <b/>
        <sz val="11"/>
        <color rgb="FF3F3F76"/>
        <rFont val="Aptos Narrow"/>
        <family val="2"/>
        <scheme val="minor"/>
      </rPr>
      <t xml:space="preserve">      Actions Suivantes: aide de l'enseignant: </t>
    </r>
    <r>
      <rPr>
        <sz val="11"/>
        <color rgb="FF3F3F76"/>
        <rFont val="Aptos Narrow"/>
        <family val="2"/>
        <scheme val="minor"/>
      </rPr>
      <t>N/A</t>
    </r>
  </si>
  <si>
    <r>
      <rPr>
        <b/>
        <sz val="11"/>
        <color rgb="FF3F3F76"/>
        <rFont val="Aptos Narrow"/>
        <family val="2"/>
        <scheme val="minor"/>
      </rPr>
      <t>Progrès accomplis:</t>
    </r>
    <r>
      <rPr>
        <sz val="11"/>
        <color rgb="FF3F3F76"/>
        <rFont val="Aptos Narrow"/>
        <family val="2"/>
        <scheme val="minor"/>
      </rPr>
      <t xml:space="preserve"> Terminé la conception du logo                     </t>
    </r>
    <r>
      <rPr>
        <b/>
        <sz val="11"/>
        <color rgb="FF3F3F76"/>
        <rFont val="Aptos Narrow"/>
        <family val="2"/>
        <scheme val="minor"/>
      </rPr>
      <t>Objectifs pour la journée :</t>
    </r>
    <r>
      <rPr>
        <sz val="11"/>
        <color rgb="FF3F3F76"/>
        <rFont val="Aptos Narrow"/>
        <family val="2"/>
        <scheme val="minor"/>
      </rPr>
      <t xml:space="preserve">Finir la conception du logo plus figma ( page dacceuil.                                       </t>
    </r>
    <r>
      <rPr>
        <b/>
        <sz val="11"/>
        <color rgb="FF3F3F76"/>
        <rFont val="Aptos Narrow"/>
        <family val="2"/>
        <scheme val="minor"/>
      </rPr>
      <t>Obstacles rencontrés:</t>
    </r>
    <r>
      <rPr>
        <sz val="11"/>
        <color rgb="FF3F3F76"/>
        <rFont val="Aptos Narrow"/>
        <family val="2"/>
        <scheme val="minor"/>
      </rPr>
      <t xml:space="preserve">N/A          </t>
    </r>
    <r>
      <rPr>
        <b/>
        <sz val="11"/>
        <color rgb="FF3F3F76"/>
        <rFont val="Aptos Narrow"/>
        <family val="2"/>
        <scheme val="minor"/>
      </rPr>
      <t>Actions Suivantes:</t>
    </r>
    <r>
      <rPr>
        <sz val="11"/>
        <color rgb="FF3F3F76"/>
        <rFont val="Aptos Narrow"/>
        <family val="2"/>
        <scheme val="minor"/>
      </rPr>
      <t xml:space="preserve"> aide de l'enseignant: N/A</t>
    </r>
  </si>
  <si>
    <t>Absente</t>
  </si>
  <si>
    <r>
      <rPr>
        <b/>
        <sz val="11"/>
        <color rgb="FF3F3F76"/>
        <rFont val="Aptos Narrow"/>
        <family val="2"/>
        <scheme val="minor"/>
      </rPr>
      <t>Progrès accomplis</t>
    </r>
    <r>
      <rPr>
        <sz val="11"/>
        <color rgb="FF3F3F76"/>
        <rFont val="Aptos Narrow"/>
        <family val="2"/>
        <scheme val="minor"/>
      </rPr>
      <t xml:space="preserve">: Creation du server et la connection.                        </t>
    </r>
    <r>
      <rPr>
        <b/>
        <sz val="11"/>
        <color rgb="FF3F3F76"/>
        <rFont val="Aptos Narrow"/>
        <family val="2"/>
        <scheme val="minor"/>
      </rPr>
      <t xml:space="preserve">Objectifs pour la journée : </t>
    </r>
    <r>
      <rPr>
        <sz val="11"/>
        <color rgb="FF3F3F76"/>
        <rFont val="Aptos Narrow"/>
        <family val="2"/>
        <scheme val="minor"/>
      </rPr>
      <t xml:space="preserve">Commencer figma ( header ).                                 </t>
    </r>
    <r>
      <rPr>
        <b/>
        <sz val="11"/>
        <color rgb="FF3F3F76"/>
        <rFont val="Aptos Narrow"/>
        <family val="2"/>
        <scheme val="minor"/>
      </rPr>
      <t>Obstacles rencontrés:</t>
    </r>
    <r>
      <rPr>
        <sz val="11"/>
        <color rgb="FF3F3F76"/>
        <rFont val="Aptos Narrow"/>
        <family val="2"/>
        <scheme val="minor"/>
      </rPr>
      <t xml:space="preserve">N/A          </t>
    </r>
    <r>
      <rPr>
        <b/>
        <sz val="11"/>
        <color rgb="FF3F3F76"/>
        <rFont val="Aptos Narrow"/>
        <family val="2"/>
        <scheme val="minor"/>
      </rPr>
      <t>Actions Suivantes:</t>
    </r>
    <r>
      <rPr>
        <sz val="11"/>
        <color rgb="FF3F3F76"/>
        <rFont val="Aptos Narrow"/>
        <family val="2"/>
        <scheme val="minor"/>
      </rPr>
      <t xml:space="preserve"> aide de l'enseignant: N/A</t>
    </r>
  </si>
  <si>
    <r>
      <rPr>
        <b/>
        <sz val="9"/>
        <color rgb="FF3F3F76"/>
        <rFont val="Aptos Narrow"/>
        <family val="2"/>
      </rPr>
      <t xml:space="preserve">Progrès accomplis:  </t>
    </r>
    <r>
      <rPr>
        <sz val="9"/>
        <color rgb="FF3F3F76"/>
        <rFont val="Aptos Narrow"/>
        <family val="2"/>
      </rPr>
      <t>Conecpt header</t>
    </r>
    <r>
      <rPr>
        <b/>
        <sz val="9"/>
        <color rgb="FF3F3F76"/>
        <rFont val="Aptos Narrow"/>
        <family val="2"/>
      </rPr>
      <t xml:space="preserve">         </t>
    </r>
    <r>
      <rPr>
        <sz val="9"/>
        <color rgb="FF3F3F76"/>
        <rFont val="Aptos Narrow"/>
        <family val="2"/>
      </rPr>
      <t xml:space="preserve">                                </t>
    </r>
    <r>
      <rPr>
        <b/>
        <sz val="9"/>
        <color rgb="FF3F3F76"/>
        <rFont val="Aptos Narrow"/>
        <family val="2"/>
      </rPr>
      <t xml:space="preserve">Objectifs pour la journée : </t>
    </r>
    <r>
      <rPr>
        <sz val="9"/>
        <color rgb="FF3F3F76"/>
        <rFont val="Aptos Narrow"/>
        <family val="2"/>
      </rPr>
      <t xml:space="preserve">Faire connecter la base de donné avec le site web                                           </t>
    </r>
    <r>
      <rPr>
        <b/>
        <sz val="9"/>
        <color rgb="FF3F3F76"/>
        <rFont val="Aptos Narrow"/>
        <family val="2"/>
      </rPr>
      <t xml:space="preserve">Obstacles rencontrés: </t>
    </r>
    <r>
      <rPr>
        <sz val="9"/>
        <color rgb="FF3F3F76"/>
        <rFont val="Aptos Narrow"/>
        <family val="2"/>
      </rPr>
      <t xml:space="preserve">L'authorisation du base de donnés null. Meme avec le Grant all                                                </t>
    </r>
    <r>
      <rPr>
        <b/>
        <sz val="9"/>
        <color rgb="FF3F3F76"/>
        <rFont val="Aptos Narrow"/>
        <family val="2"/>
      </rPr>
      <t xml:space="preserve">Actions Suivantes: </t>
    </r>
    <r>
      <rPr>
        <sz val="9"/>
        <color rgb="FF3F3F76"/>
        <rFont val="Aptos Narrow"/>
        <family val="2"/>
      </rPr>
      <t>aide de l'enseignant: N/A</t>
    </r>
  </si>
  <si>
    <t xml:space="preserve">Progrès accomplis: Terminé la conception des pages et connecter le base de donné avec le site web.                                 Objectifs pour la journée:  Finir conception des pages de connexion et d'inscription ainsi que le document personnel                          </t>
  </si>
  <si>
    <t>WIP</t>
  </si>
  <si>
    <t>Âge moyen des items</t>
  </si>
  <si>
    <t>Revue</t>
  </si>
  <si>
    <t>Priorités pour le prochain sprint</t>
  </si>
  <si>
    <t>Changements aux objectifs / besoins</t>
  </si>
  <si>
    <t>Rétrospective</t>
  </si>
  <si>
    <t>Points forts</t>
  </si>
  <si>
    <t>Points à améliorer</t>
  </si>
  <si>
    <t>Mesure d'amélioration pour le prochain sprint</t>
  </si>
  <si>
    <t>Bilan de la mesure d'amélioration du sprint courant</t>
  </si>
  <si>
    <t>Progrès accomplis: Terminé la conception des pages sur figma et le document personnel et le excel                                  Objectifs pour la journée:  Finir conception des pages de acceuil et swipe ainsi que le document personnel                                               Obstacles rencontrés: N/A                        Actions Suivantes: N/A</t>
  </si>
  <si>
    <t>Conception prototypes des 4 pages (Accueil, Inscription, Connexion, Abonnement) en html/css/js et Création compte qui s'insère dans la bdd</t>
  </si>
  <si>
    <t>Productivité, creativité, division des tâches, travail d'équipe</t>
  </si>
  <si>
    <t>gestion du temps, communication</t>
  </si>
  <si>
    <t>utiliser des outils de communication hors de l'école comme des résaux sociaux et des outils de gestion de temps comme Trello</t>
  </si>
  <si>
    <t>N/A</t>
  </si>
  <si>
    <t>Ajout de besoins et fonctionnalités : Utiliser un algorithme de machine learning pour faire les match des lieux des personnes, Ajouter un système de vérification de profil en utilisant une pièce d'identité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</si>
</sst>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Aptos Narrow"/>
      <family val="2"/>
      <scheme val="minor"/>
    </font>
    <font>
      <b/>
      <sz val="13"/>
      <color theme="3"/>
      <name val="Aptos Narrow"/>
      <family val="2"/>
      <scheme val="minor"/>
    </font>
    <font>
      <b/>
      <sz val="11"/>
      <color theme="3"/>
      <name val="Aptos Narrow"/>
      <family val="2"/>
      <scheme val="minor"/>
    </font>
    <font>
      <sz val="11"/>
      <color rgb="FF3F3F76"/>
      <name val="Aptos Narrow"/>
      <family val="2"/>
      <scheme val="minor"/>
    </font>
    <font>
      <b/>
      <sz val="11"/>
      <color rgb="FFFA7D00"/>
      <name val="Aptos Narrow"/>
      <family val="2"/>
      <scheme val="minor"/>
    </font>
    <font>
      <b/>
      <sz val="11"/>
      <color theme="1"/>
      <name val="Aptos Narrow"/>
      <family val="2"/>
      <scheme val="minor"/>
    </font>
    <font>
      <sz val="9"/>
      <color indexed="81"/>
      <name val="Tahoma"/>
      <family val="2"/>
    </font>
    <font>
      <sz val="10"/>
      <color rgb="FF3F3F76"/>
      <name val="Aptos Narrow"/>
      <family val="2"/>
      <scheme val="minor"/>
    </font>
    <font>
      <sz val="11"/>
      <color rgb="FF3F3F76"/>
      <name val="Aptos Narrow"/>
      <family val="2"/>
    </font>
    <font>
      <b/>
      <sz val="10"/>
      <color rgb="FF3F3F76"/>
      <name val="Aptos Narrow"/>
      <family val="2"/>
      <scheme val="minor"/>
    </font>
    <font>
      <b/>
      <sz val="11"/>
      <color rgb="FF3F3F76"/>
      <name val="Aptos Narrow"/>
      <family val="2"/>
      <scheme val="minor"/>
    </font>
    <font>
      <b/>
      <sz val="9"/>
      <color rgb="FF3F3F76"/>
      <name val="Aptos Narrow"/>
      <family val="2"/>
    </font>
    <font>
      <sz val="9"/>
      <color rgb="FF3F3F76"/>
      <name val="Aptos Narrow"/>
      <family val="2"/>
    </font>
    <font>
      <sz val="9"/>
      <color rgb="FF3F3F76"/>
      <name val="Aptos Narrow"/>
      <family val="2"/>
      <scheme val="minor"/>
    </font>
    <font>
      <b/>
      <sz val="9"/>
      <color rgb="FF3F3F76"/>
      <name val="Aptos Narrow"/>
      <family val="2"/>
      <scheme val="minor"/>
    </font>
  </fonts>
  <fills count="4">
    <fill>
      <patternFill patternType="none"/>
    </fill>
    <fill>
      <patternFill patternType="gray125"/>
    </fill>
    <fill>
      <patternFill patternType="solid">
        <fgColor rgb="FFFFCC99"/>
      </patternFill>
    </fill>
    <fill>
      <patternFill patternType="solid">
        <fgColor rgb="FFF2F2F2"/>
      </patternFill>
    </fill>
  </fills>
  <borders count="5">
    <border>
      <left/>
      <right/>
      <top/>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style="thin">
        <color indexed="64"/>
      </top>
      <bottom style="thin">
        <color rgb="FF7F7F7F"/>
      </bottom>
      <diagonal/>
    </border>
  </borders>
  <cellStyleXfs count="5">
    <xf numFmtId="0" fontId="0" fillId="0" borderId="0"/>
    <xf numFmtId="0" fontId="1" fillId="0" borderId="1" applyNumberFormat="0" applyFill="0" applyAlignment="0" applyProtection="0"/>
    <xf numFmtId="0" fontId="2" fillId="0" borderId="2" applyNumberFormat="0" applyFill="0" applyAlignment="0" applyProtection="0"/>
    <xf numFmtId="0" fontId="3" fillId="2" borderId="3" applyNumberFormat="0" applyAlignment="0" applyProtection="0"/>
    <xf numFmtId="0" fontId="4" fillId="3" borderId="3" applyNumberFormat="0" applyAlignment="0" applyProtection="0"/>
  </cellStyleXfs>
  <cellXfs count="24">
    <xf numFmtId="0" fontId="0" fillId="0" borderId="0" xfId="0"/>
    <xf numFmtId="0" fontId="3" fillId="2" borderId="3" xfId="3"/>
    <xf numFmtId="0" fontId="0" fillId="0" borderId="0" xfId="0" applyAlignment="1">
      <alignment horizontal="center"/>
    </xf>
    <xf numFmtId="0" fontId="3" fillId="2" borderId="3" xfId="3" applyAlignment="1">
      <alignment horizontal="center"/>
    </xf>
    <xf numFmtId="9" fontId="3" fillId="2" borderId="3" xfId="3" applyNumberFormat="1" applyAlignment="1">
      <alignment horizontal="center"/>
    </xf>
    <xf numFmtId="0" fontId="4" fillId="3" borderId="3" xfId="4"/>
    <xf numFmtId="9" fontId="4" fillId="3" borderId="3" xfId="4" applyNumberFormat="1"/>
    <xf numFmtId="0" fontId="3" fillId="2" borderId="4" xfId="3" applyBorder="1"/>
    <xf numFmtId="0" fontId="1" fillId="0" borderId="1" xfId="1"/>
    <xf numFmtId="0" fontId="2" fillId="0" borderId="2" xfId="2"/>
    <xf numFmtId="0" fontId="0" fillId="0" borderId="0" xfId="0" applyAlignment="1">
      <alignment vertical="top"/>
    </xf>
    <xf numFmtId="0" fontId="7" fillId="2" borderId="3" xfId="3" applyFont="1" applyAlignment="1">
      <alignment vertical="top" wrapText="1"/>
    </xf>
    <xf numFmtId="0" fontId="10" fillId="2" borderId="3" xfId="3" applyFont="1" applyAlignment="1">
      <alignment vertical="top" wrapText="1"/>
    </xf>
    <xf numFmtId="0" fontId="8" fillId="2" borderId="3" xfId="3" applyFont="1" applyAlignment="1">
      <alignment horizontal="center" vertical="center" wrapText="1"/>
    </xf>
    <xf numFmtId="0" fontId="3" fillId="2" borderId="3" xfId="3" applyAlignment="1">
      <alignment horizontal="center" vertical="center" wrapText="1"/>
    </xf>
    <xf numFmtId="0" fontId="12" fillId="2" borderId="3" xfId="3" applyFont="1" applyAlignment="1">
      <alignment vertical="top" wrapText="1"/>
    </xf>
    <xf numFmtId="0" fontId="3" fillId="2" borderId="3" xfId="3" applyAlignment="1">
      <alignment horizontal="right"/>
    </xf>
    <xf numFmtId="0" fontId="13" fillId="2" borderId="3" xfId="3" applyFont="1" applyAlignment="1">
      <alignment vertical="top" wrapText="1"/>
    </xf>
    <xf numFmtId="0" fontId="7" fillId="2" borderId="3" xfId="3" applyFont="1" applyAlignment="1">
      <alignment wrapText="1"/>
    </xf>
    <xf numFmtId="0" fontId="3" fillId="2" borderId="3" xfId="3" applyAlignment="1">
      <alignment vertical="top" wrapText="1"/>
    </xf>
    <xf numFmtId="0" fontId="3" fillId="2" borderId="3" xfId="3" applyAlignment="1">
      <alignment vertical="top"/>
    </xf>
    <xf numFmtId="0" fontId="5" fillId="0" borderId="0" xfId="0" applyFont="1"/>
    <xf numFmtId="0" fontId="5" fillId="0" borderId="0" xfId="0" applyFont="1" applyAlignment="1">
      <alignment horizontal="center"/>
    </xf>
    <xf numFmtId="0" fontId="3" fillId="2" borderId="3" xfId="3" applyAlignment="1">
      <alignment horizontal="left" vertical="top"/>
    </xf>
  </cellXfs>
  <cellStyles count="5">
    <cellStyle name="Calculation" xfId="4" builtinId="22"/>
    <cellStyle name="Heading 2" xfId="1" builtinId="17"/>
    <cellStyle name="Heading 3" xfId="2" builtinId="18"/>
    <cellStyle name="Input" xfId="3" builtinId="2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47C8C-BB64-4187-92AA-6B5ED698724D}">
  <dimension ref="A1:O39"/>
  <sheetViews>
    <sheetView tabSelected="1" topLeftCell="C12" zoomScaleNormal="100" workbookViewId="0">
      <selection activeCell="I23" sqref="I23"/>
    </sheetView>
  </sheetViews>
  <sheetFormatPr defaultColWidth="8.85546875" defaultRowHeight="15" x14ac:dyDescent="0.25"/>
  <cols>
    <col min="1" max="1" width="66.42578125" bestFit="1" customWidth="1"/>
    <col min="2" max="2" width="21.85546875" bestFit="1" customWidth="1"/>
    <col min="3" max="6" width="10.28515625" customWidth="1"/>
    <col min="7" max="7" width="15.7109375" style="2" customWidth="1"/>
    <col min="8" max="8" width="14.42578125" bestFit="1" customWidth="1"/>
    <col min="9" max="9" width="14.42578125" customWidth="1"/>
    <col min="11" max="11" width="47.5703125" bestFit="1" customWidth="1"/>
    <col min="12" max="12" width="35.5703125" customWidth="1"/>
    <col min="13" max="13" width="31.7109375" customWidth="1"/>
    <col min="14" max="14" width="26.7109375" customWidth="1"/>
    <col min="15" max="15" width="29.28515625" customWidth="1"/>
  </cols>
  <sheetData>
    <row r="1" spans="1:13" ht="17.25" x14ac:dyDescent="0.3">
      <c r="A1" t="s">
        <v>0</v>
      </c>
      <c r="B1" s="21" t="s">
        <v>1</v>
      </c>
      <c r="C1" s="21"/>
      <c r="D1" s="21"/>
      <c r="E1" s="21"/>
      <c r="F1" s="21"/>
      <c r="G1" s="21"/>
      <c r="H1" s="21"/>
      <c r="I1" s="21"/>
      <c r="K1" s="8" t="s">
        <v>2</v>
      </c>
    </row>
    <row r="2" spans="1:13" x14ac:dyDescent="0.25">
      <c r="K2" t="s">
        <v>3</v>
      </c>
      <c r="L2" s="5">
        <f>AVERAGEIFS(G:G,F:F, "X", B:B, "Récit")</f>
        <v>7</v>
      </c>
    </row>
    <row r="3" spans="1:13" x14ac:dyDescent="0.25">
      <c r="A3" s="2" t="s">
        <v>4</v>
      </c>
      <c r="B3" s="2" t="s">
        <v>5</v>
      </c>
      <c r="C3" s="2" t="s">
        <v>6</v>
      </c>
      <c r="D3" s="2" t="s">
        <v>7</v>
      </c>
      <c r="E3" s="2" t="s">
        <v>8</v>
      </c>
      <c r="F3" s="2" t="s">
        <v>9</v>
      </c>
      <c r="G3" s="2" t="s">
        <v>10</v>
      </c>
      <c r="H3" s="2" t="s">
        <v>11</v>
      </c>
      <c r="K3" t="s">
        <v>12</v>
      </c>
      <c r="L3" s="5">
        <f>AVERAGEIFS(G:G,F:F, "X", B:B, "Tâche")</f>
        <v>1.5</v>
      </c>
    </row>
    <row r="4" spans="1:13" x14ac:dyDescent="0.25">
      <c r="A4" t="s">
        <v>13</v>
      </c>
      <c r="B4" s="3" t="s">
        <v>14</v>
      </c>
      <c r="C4" s="4"/>
      <c r="D4" s="4"/>
      <c r="E4" s="4"/>
      <c r="F4" s="3" t="s">
        <v>15</v>
      </c>
      <c r="G4" s="16">
        <f>SUM(G6:G11)</f>
        <v>8</v>
      </c>
      <c r="H4" s="16">
        <f>SUM(H6:H11)</f>
        <v>11</v>
      </c>
      <c r="K4" t="s">
        <v>16</v>
      </c>
      <c r="L4" s="5">
        <f>COUNTIFS(F:F, "X", B:B, "Récit")</f>
        <v>2</v>
      </c>
    </row>
    <row r="5" spans="1:13" x14ac:dyDescent="0.25">
      <c r="A5" t="s">
        <v>17</v>
      </c>
      <c r="B5" s="3" t="s">
        <v>18</v>
      </c>
      <c r="C5" s="4"/>
      <c r="D5" s="4"/>
      <c r="E5" s="4"/>
      <c r="F5" s="3" t="s">
        <v>15</v>
      </c>
      <c r="G5" s="1">
        <f>SUM(G6:G10)</f>
        <v>7</v>
      </c>
      <c r="H5" s="1">
        <f>SUM(H6:H10)</f>
        <v>10</v>
      </c>
      <c r="K5" t="s">
        <v>19</v>
      </c>
      <c r="L5" s="5">
        <f>COUNTIFS(F:F, "X", B:B, "Tâche")</f>
        <v>10</v>
      </c>
    </row>
    <row r="6" spans="1:13" x14ac:dyDescent="0.25">
      <c r="A6" t="s">
        <v>20</v>
      </c>
      <c r="B6" s="3" t="s">
        <v>21</v>
      </c>
      <c r="C6" s="4">
        <v>0.5</v>
      </c>
      <c r="D6" s="4">
        <v>0.25</v>
      </c>
      <c r="E6" s="4">
        <v>0.25</v>
      </c>
      <c r="F6" s="3" t="s">
        <v>15</v>
      </c>
      <c r="G6" s="1">
        <v>1</v>
      </c>
      <c r="H6" s="1">
        <v>1</v>
      </c>
    </row>
    <row r="7" spans="1:13" x14ac:dyDescent="0.25">
      <c r="A7" t="s">
        <v>22</v>
      </c>
      <c r="B7" s="3" t="s">
        <v>21</v>
      </c>
      <c r="C7" s="4">
        <v>1</v>
      </c>
      <c r="D7" s="4"/>
      <c r="E7" s="4"/>
      <c r="F7" s="3" t="s">
        <v>15</v>
      </c>
      <c r="G7" s="1">
        <v>2</v>
      </c>
      <c r="H7" s="1">
        <v>3</v>
      </c>
      <c r="K7" s="9" t="s">
        <v>23</v>
      </c>
    </row>
    <row r="8" spans="1:13" x14ac:dyDescent="0.25">
      <c r="A8" t="s">
        <v>24</v>
      </c>
      <c r="B8" s="3" t="s">
        <v>21</v>
      </c>
      <c r="C8" s="4">
        <v>1</v>
      </c>
      <c r="D8" s="4"/>
      <c r="E8" s="4"/>
      <c r="F8" s="3" t="s">
        <v>15</v>
      </c>
      <c r="G8" s="1">
        <v>2</v>
      </c>
      <c r="H8" s="1">
        <v>2</v>
      </c>
      <c r="K8" t="s">
        <v>25</v>
      </c>
      <c r="L8" s="5">
        <f>COUNTIF(B:B,"Récit")</f>
        <v>2</v>
      </c>
    </row>
    <row r="9" spans="1:13" x14ac:dyDescent="0.25">
      <c r="A9" t="s">
        <v>26</v>
      </c>
      <c r="B9" s="3" t="s">
        <v>21</v>
      </c>
      <c r="C9" s="4"/>
      <c r="D9" s="4">
        <v>1</v>
      </c>
      <c r="E9" s="4">
        <v>0</v>
      </c>
      <c r="F9" s="3" t="s">
        <v>15</v>
      </c>
      <c r="G9" s="1">
        <v>1</v>
      </c>
      <c r="H9" s="1">
        <v>2</v>
      </c>
      <c r="K9" t="s">
        <v>27</v>
      </c>
      <c r="L9" s="5">
        <f>COUNTIF(B:B, "Tâche")</f>
        <v>10</v>
      </c>
    </row>
    <row r="10" spans="1:13" x14ac:dyDescent="0.25">
      <c r="A10" t="s">
        <v>28</v>
      </c>
      <c r="B10" s="3" t="s">
        <v>21</v>
      </c>
      <c r="C10" s="4"/>
      <c r="D10" s="4"/>
      <c r="E10" s="4">
        <v>1</v>
      </c>
      <c r="F10" s="3" t="s">
        <v>15</v>
      </c>
      <c r="G10" s="1">
        <v>1</v>
      </c>
      <c r="H10" s="1">
        <v>2</v>
      </c>
    </row>
    <row r="11" spans="1:13" x14ac:dyDescent="0.25">
      <c r="A11" t="s">
        <v>29</v>
      </c>
      <c r="B11" s="3" t="s">
        <v>21</v>
      </c>
      <c r="C11" s="4">
        <v>0.25</v>
      </c>
      <c r="D11" s="4">
        <v>0.75</v>
      </c>
      <c r="E11" s="4"/>
      <c r="F11" s="3" t="s">
        <v>15</v>
      </c>
      <c r="G11" s="1">
        <v>1</v>
      </c>
      <c r="H11" s="1">
        <v>1</v>
      </c>
      <c r="K11" t="s">
        <v>30</v>
      </c>
      <c r="L11" s="6">
        <f>L4/L8</f>
        <v>1</v>
      </c>
    </row>
    <row r="12" spans="1:13" x14ac:dyDescent="0.25">
      <c r="A12" t="s">
        <v>31</v>
      </c>
      <c r="B12" s="3" t="s">
        <v>18</v>
      </c>
      <c r="C12" s="4">
        <v>0.5</v>
      </c>
      <c r="D12" s="4">
        <v>0.5</v>
      </c>
      <c r="E12" s="4"/>
      <c r="F12" s="3" t="s">
        <v>15</v>
      </c>
      <c r="G12" s="1">
        <f>SUM(G13:G16)</f>
        <v>7</v>
      </c>
      <c r="H12" s="1">
        <f>SUM(H13:H16)</f>
        <v>5</v>
      </c>
      <c r="K12" t="s">
        <v>32</v>
      </c>
      <c r="L12" s="6">
        <f>L5/L9</f>
        <v>1</v>
      </c>
    </row>
    <row r="13" spans="1:13" x14ac:dyDescent="0.25">
      <c r="A13" t="s">
        <v>33</v>
      </c>
      <c r="B13" s="3" t="s">
        <v>21</v>
      </c>
      <c r="C13" s="4">
        <v>0.5</v>
      </c>
      <c r="D13" s="4">
        <v>0.5</v>
      </c>
      <c r="E13" s="4"/>
      <c r="F13" s="3" t="s">
        <v>15</v>
      </c>
      <c r="G13" s="1">
        <v>1</v>
      </c>
      <c r="H13" s="1">
        <v>1</v>
      </c>
    </row>
    <row r="14" spans="1:13" x14ac:dyDescent="0.25">
      <c r="A14" t="s">
        <v>34</v>
      </c>
      <c r="B14" s="3" t="s">
        <v>21</v>
      </c>
      <c r="C14" s="4"/>
      <c r="D14" s="4">
        <v>0.5</v>
      </c>
      <c r="E14" s="4">
        <v>0.5</v>
      </c>
      <c r="F14" s="3" t="s">
        <v>15</v>
      </c>
      <c r="G14" s="1">
        <v>1</v>
      </c>
      <c r="H14" s="1">
        <v>1</v>
      </c>
      <c r="K14" s="9" t="s">
        <v>35</v>
      </c>
    </row>
    <row r="15" spans="1:13" x14ac:dyDescent="0.25">
      <c r="A15" t="s">
        <v>36</v>
      </c>
      <c r="B15" s="3" t="s">
        <v>21</v>
      </c>
      <c r="C15" s="4">
        <v>0</v>
      </c>
      <c r="D15" s="4">
        <v>0</v>
      </c>
      <c r="E15" s="4">
        <v>1</v>
      </c>
      <c r="F15" s="3" t="s">
        <v>15</v>
      </c>
      <c r="G15" s="1">
        <v>3</v>
      </c>
      <c r="H15" s="1">
        <v>1</v>
      </c>
      <c r="K15" t="s">
        <v>6</v>
      </c>
      <c r="L15" s="5">
        <f>SUMIFS(C:C,F:F,"X")</f>
        <v>3.75</v>
      </c>
      <c r="M15" s="6">
        <f>L15/SUM($L$15:$L$17)</f>
        <v>0.34090909090909088</v>
      </c>
    </row>
    <row r="16" spans="1:13" x14ac:dyDescent="0.25">
      <c r="A16" t="s">
        <v>37</v>
      </c>
      <c r="B16" s="3" t="s">
        <v>21</v>
      </c>
      <c r="C16" s="4">
        <v>0</v>
      </c>
      <c r="D16" s="4">
        <v>0</v>
      </c>
      <c r="E16" s="4">
        <v>1</v>
      </c>
      <c r="F16" s="3" t="s">
        <v>15</v>
      </c>
      <c r="G16" s="1">
        <v>2</v>
      </c>
      <c r="H16" s="1">
        <v>2</v>
      </c>
      <c r="K16" t="s">
        <v>7</v>
      </c>
      <c r="L16" s="5">
        <f>SUMIFS(D:D,F:F,"X")</f>
        <v>3.5</v>
      </c>
      <c r="M16" s="6">
        <f>L16/SUM($L$15:$L$18)</f>
        <v>0.31818181818181818</v>
      </c>
    </row>
    <row r="17" spans="11:15" x14ac:dyDescent="0.25">
      <c r="K17" s="10" t="s">
        <v>8</v>
      </c>
      <c r="L17" s="5">
        <f>SUMIFS(E:E,F:F,"X")</f>
        <v>3.75</v>
      </c>
      <c r="M17" s="6">
        <f>L17/SUM($L$15:$L$18)</f>
        <v>0.34090909090909088</v>
      </c>
    </row>
    <row r="20" spans="11:15" ht="17.25" x14ac:dyDescent="0.3">
      <c r="K20" s="8" t="s">
        <v>38</v>
      </c>
    </row>
    <row r="21" spans="11:15" x14ac:dyDescent="0.25">
      <c r="L21" s="22" t="s">
        <v>39</v>
      </c>
      <c r="M21" s="22"/>
      <c r="N21" s="22"/>
      <c r="O21" s="22"/>
    </row>
    <row r="22" spans="11:15" x14ac:dyDescent="0.25">
      <c r="K22" s="9" t="s">
        <v>40</v>
      </c>
      <c r="L22" t="s">
        <v>41</v>
      </c>
      <c r="M22" t="s">
        <v>42</v>
      </c>
      <c r="N22" t="s">
        <v>43</v>
      </c>
      <c r="O22" t="s">
        <v>44</v>
      </c>
    </row>
    <row r="23" spans="11:15" ht="127.15" customHeight="1" x14ac:dyDescent="0.25">
      <c r="K23" s="10" t="s">
        <v>6</v>
      </c>
      <c r="L23" s="11" t="s">
        <v>45</v>
      </c>
      <c r="M23" s="14" t="s">
        <v>46</v>
      </c>
      <c r="N23" s="17" t="s">
        <v>47</v>
      </c>
      <c r="O23" s="18" t="s">
        <v>48</v>
      </c>
    </row>
    <row r="24" spans="11:15" ht="123.6" customHeight="1" x14ac:dyDescent="0.25">
      <c r="K24" s="10" t="s">
        <v>7</v>
      </c>
      <c r="L24" s="12" t="s">
        <v>49</v>
      </c>
      <c r="M24" s="19" t="s">
        <v>50</v>
      </c>
      <c r="N24" s="17" t="s">
        <v>47</v>
      </c>
      <c r="O24" s="18" t="s">
        <v>65</v>
      </c>
    </row>
    <row r="25" spans="11:15" ht="117.75" customHeight="1" x14ac:dyDescent="0.25">
      <c r="K25" s="10" t="s">
        <v>8</v>
      </c>
      <c r="L25" s="13" t="s">
        <v>51</v>
      </c>
      <c r="M25" s="19" t="s">
        <v>52</v>
      </c>
      <c r="N25" s="15" t="s">
        <v>53</v>
      </c>
      <c r="O25" s="19" t="s">
        <v>54</v>
      </c>
    </row>
    <row r="26" spans="11:15" ht="21.75" customHeight="1" x14ac:dyDescent="0.25">
      <c r="K26" t="s">
        <v>55</v>
      </c>
      <c r="L26" s="7" t="s">
        <v>70</v>
      </c>
      <c r="M26" s="7" t="s">
        <v>70</v>
      </c>
      <c r="N26" s="7" t="s">
        <v>70</v>
      </c>
      <c r="O26" s="7" t="s">
        <v>70</v>
      </c>
    </row>
    <row r="27" spans="11:15" x14ac:dyDescent="0.25">
      <c r="K27" t="s">
        <v>56</v>
      </c>
      <c r="L27" s="7" t="s">
        <v>70</v>
      </c>
      <c r="M27" s="7" t="s">
        <v>70</v>
      </c>
      <c r="N27" s="7" t="s">
        <v>70</v>
      </c>
      <c r="O27" s="7" t="s">
        <v>70</v>
      </c>
    </row>
    <row r="30" spans="11:15" x14ac:dyDescent="0.25">
      <c r="K30" s="9" t="s">
        <v>57</v>
      </c>
    </row>
    <row r="31" spans="11:15" ht="44.45" customHeight="1" x14ac:dyDescent="0.25">
      <c r="K31" s="10" t="s">
        <v>58</v>
      </c>
      <c r="L31" s="23" t="s">
        <v>66</v>
      </c>
      <c r="M31" s="23"/>
      <c r="N31" s="23"/>
      <c r="O31" s="23"/>
    </row>
    <row r="32" spans="11:15" ht="45" customHeight="1" x14ac:dyDescent="0.25">
      <c r="K32" s="10" t="s">
        <v>59</v>
      </c>
      <c r="L32" s="20" t="s">
        <v>71</v>
      </c>
      <c r="M32" s="20"/>
      <c r="N32" s="20"/>
      <c r="O32" s="20"/>
    </row>
    <row r="34" spans="11:15" x14ac:dyDescent="0.25">
      <c r="K34" s="9" t="s">
        <v>60</v>
      </c>
    </row>
    <row r="35" spans="11:15" ht="31.15" customHeight="1" x14ac:dyDescent="0.25">
      <c r="K35" s="10" t="s">
        <v>61</v>
      </c>
      <c r="L35" s="20" t="s">
        <v>67</v>
      </c>
      <c r="M35" s="20"/>
      <c r="N35" s="20"/>
      <c r="O35" s="20"/>
    </row>
    <row r="36" spans="11:15" ht="30.6" customHeight="1" x14ac:dyDescent="0.25">
      <c r="K36" s="10" t="s">
        <v>62</v>
      </c>
      <c r="L36" s="20" t="s">
        <v>68</v>
      </c>
      <c r="M36" s="20"/>
      <c r="N36" s="20"/>
      <c r="O36" s="20"/>
    </row>
    <row r="37" spans="11:15" ht="31.15" customHeight="1" x14ac:dyDescent="0.25">
      <c r="K37" s="10" t="s">
        <v>63</v>
      </c>
      <c r="L37" s="20" t="s">
        <v>69</v>
      </c>
      <c r="M37" s="20"/>
      <c r="N37" s="20"/>
      <c r="O37" s="20"/>
    </row>
    <row r="38" spans="11:15" x14ac:dyDescent="0.25">
      <c r="K38" s="10"/>
      <c r="L38" s="10"/>
      <c r="M38" s="10"/>
      <c r="N38" s="10"/>
      <c r="O38" s="10"/>
    </row>
    <row r="39" spans="11:15" ht="31.15" customHeight="1" x14ac:dyDescent="0.25">
      <c r="K39" s="10" t="s">
        <v>64</v>
      </c>
      <c r="L39" s="20" t="s">
        <v>70</v>
      </c>
      <c r="M39" s="20"/>
      <c r="N39" s="20"/>
      <c r="O39" s="20"/>
    </row>
  </sheetData>
  <mergeCells count="8">
    <mergeCell ref="L35:O35"/>
    <mergeCell ref="L36:O36"/>
    <mergeCell ref="L37:O37"/>
    <mergeCell ref="L39:O39"/>
    <mergeCell ref="B1:I1"/>
    <mergeCell ref="L21:O21"/>
    <mergeCell ref="L31:O31"/>
    <mergeCell ref="L32:O32"/>
  </mergeCells>
  <pageMargins left="0.7" right="0.7" top="0.75" bottom="0.75" header="0.3" footer="0.3"/>
  <pageSetup orientation="portrait" horizontalDpi="4294967295" verticalDpi="4294967295" r:id="rId1"/>
  <ignoredErrors>
    <ignoredError sqref="G5:H5" formulaRange="1"/>
  </ignoredErrors>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Exemple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Stéphane Lévesque</dc:creator>
  <cp:keywords/>
  <dc:description/>
  <cp:lastModifiedBy>Jucan, Denis Florin</cp:lastModifiedBy>
  <cp:revision/>
  <dcterms:created xsi:type="dcterms:W3CDTF">2024-08-18T18:39:34Z</dcterms:created>
  <dcterms:modified xsi:type="dcterms:W3CDTF">2024-09-11T01:16:56Z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b615819-ba40-4aaf-a034-39fd1d37cddf_Enabled">
    <vt:lpwstr>true</vt:lpwstr>
  </property>
  <property fmtid="{D5CDD505-2E9C-101B-9397-08002B2CF9AE}" pid="3" name="MSIP_Label_6b615819-ba40-4aaf-a034-39fd1d37cddf_SetDate">
    <vt:lpwstr>2024-08-29T15:48:39Z</vt:lpwstr>
  </property>
  <property fmtid="{D5CDD505-2E9C-101B-9397-08002B2CF9AE}" pid="4" name="MSIP_Label_6b615819-ba40-4aaf-a034-39fd1d37cddf_Method">
    <vt:lpwstr>Standard</vt:lpwstr>
  </property>
  <property fmtid="{D5CDD505-2E9C-101B-9397-08002B2CF9AE}" pid="5" name="MSIP_Label_6b615819-ba40-4aaf-a034-39fd1d37cddf_Name">
    <vt:lpwstr>defa4170-0d19-0005-0004-bc88714345d2</vt:lpwstr>
  </property>
  <property fmtid="{D5CDD505-2E9C-101B-9397-08002B2CF9AE}" pid="6" name="MSIP_Label_6b615819-ba40-4aaf-a034-39fd1d37cddf_SiteId">
    <vt:lpwstr>f9182dd7-4234-41fb-9e9c-dd20d493b548</vt:lpwstr>
  </property>
  <property fmtid="{D5CDD505-2E9C-101B-9397-08002B2CF9AE}" pid="7" name="MSIP_Label_6b615819-ba40-4aaf-a034-39fd1d37cddf_ActionId">
    <vt:lpwstr>68bc2f7e-66e1-4e38-98cf-43cd4917e3a6</vt:lpwstr>
  </property>
  <property fmtid="{D5CDD505-2E9C-101B-9397-08002B2CF9AE}" pid="8" name="MSIP_Label_6b615819-ba40-4aaf-a034-39fd1d37cddf_ContentBits">
    <vt:lpwstr>0</vt:lpwstr>
  </property>
</Properties>
</file>