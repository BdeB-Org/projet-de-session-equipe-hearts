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bdebqcca-my.sharepoint.com/personal/2249463_bdeb_qc_ca/Documents/Bureau/ga/projet-de-session-equipe-hearts/sprints/"/>
    </mc:Choice>
  </mc:AlternateContent>
  <xr:revisionPtr revIDLastSave="7" documentId="8_{4D6721DB-7B67-4A3A-97F7-474840700DBC}" xr6:coauthVersionLast="47" xr6:coauthVersionMax="47" xr10:uidLastSave="{C383AE87-7785-4676-86B0-C19A1B2EC222}"/>
  <bookViews>
    <workbookView xWindow="-120" yWindow="-120" windowWidth="29040" windowHeight="15840" tabRatio="258" xr2:uid="{6BF6013A-4C68-4CEF-BF49-8F7071437FDB}"/>
  </bookViews>
  <sheets>
    <sheet name="Exemp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1" l="1"/>
  <c r="L16" i="1"/>
  <c r="L15" i="1"/>
  <c r="L5" i="1"/>
  <c r="L3" i="1"/>
  <c r="L2" i="1"/>
  <c r="L4" i="1"/>
  <c r="H12" i="1"/>
  <c r="G12" i="1"/>
  <c r="H5" i="1"/>
  <c r="H4" i="1"/>
  <c r="G4" i="1"/>
  <c r="G5" i="1"/>
  <c r="L9" i="1"/>
  <c r="L8" i="1"/>
  <c r="L11" i="1" s="1"/>
  <c r="L12" i="1" l="1"/>
  <c r="M15" i="1" l="1"/>
  <c r="M17" i="1"/>
  <c r="M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1436BC68-6862-4DA3-AE73-44AC3E642BA5}">
      <text>
        <r>
          <rPr>
            <sz val="9"/>
            <color indexed="81"/>
            <rFont val="Tahoma"/>
            <family val="2"/>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F3" authorId="0" shapeId="0" xr:uid="{55FB5F07-C4FD-43A5-B9B8-014378EB64E4}">
      <text>
        <r>
          <rPr>
            <sz val="9"/>
            <color indexed="81"/>
            <rFont val="Tahoma"/>
            <family val="2"/>
          </rPr>
          <t>Indiquer X (majuscule) si l'item est conforme à la Définition de Terminé</t>
        </r>
      </text>
    </comment>
    <comment ref="G3" authorId="0" shapeId="0" xr:uid="{1F37F235-0DAD-4706-AAD6-EB528448AC98}">
      <text>
        <r>
          <rPr>
            <sz val="9"/>
            <color indexed="81"/>
            <rFont val="Tahoma"/>
            <family val="2"/>
          </rPr>
          <t>Le nombre de jours entre le début et la fin du travail sur cet item (minimum 1)</t>
        </r>
      </text>
    </comment>
    <comment ref="H3" authorId="0" shapeId="0" xr:uid="{3D1EC365-15D5-4AD8-AE26-96600E8AB048}">
      <text>
        <r>
          <rPr>
            <sz val="9"/>
            <color indexed="81"/>
            <rFont val="Tahoma"/>
            <family val="2"/>
          </rPr>
          <t>Nombre de jours depuis le début du travail sur cet item (minimum 1)</t>
        </r>
      </text>
    </comment>
  </commentList>
</comments>
</file>

<file path=xl/sharedStrings.xml><?xml version="1.0" encoding="utf-8"?>
<sst xmlns="http://schemas.openxmlformats.org/spreadsheetml/2006/main" count="109" uniqueCount="72">
  <si>
    <t>S'authentifier avec son compte usager</t>
  </si>
  <si>
    <t>Métriques de sprint</t>
  </si>
  <si>
    <t>Temps de cycle moyen (récits)</t>
  </si>
  <si>
    <t>Item planifié</t>
  </si>
  <si>
    <t>Type (Saga/Récit/Tâche)</t>
  </si>
  <si>
    <t>Denis</t>
  </si>
  <si>
    <t>Houssem</t>
  </si>
  <si>
    <t>Rosselle</t>
  </si>
  <si>
    <t>Terminé</t>
  </si>
  <si>
    <t>Temps de cycle</t>
  </si>
  <si>
    <t>Âge</t>
  </si>
  <si>
    <t>Temps de cycle moyen (tâches)</t>
  </si>
  <si>
    <t>Créer le Figma pour la conception UI</t>
  </si>
  <si>
    <t>Saga</t>
  </si>
  <si>
    <t>X</t>
  </si>
  <si>
    <t>Débit récits (sur 14 jours)</t>
  </si>
  <si>
    <t xml:space="preserve">  Design des pages </t>
  </si>
  <si>
    <t>Récit</t>
  </si>
  <si>
    <t>Débit tâches (sur 14 jours)</t>
  </si>
  <si>
    <t xml:space="preserve">     Page d'acceuil </t>
  </si>
  <si>
    <t>Tâche</t>
  </si>
  <si>
    <t xml:space="preserve">     Page de connexion</t>
  </si>
  <si>
    <t>Livraison</t>
  </si>
  <si>
    <t xml:space="preserve">     Page d'inscription</t>
  </si>
  <si>
    <t>Nombre de récits planifiés</t>
  </si>
  <si>
    <t xml:space="preserve">     Page de swipe</t>
  </si>
  <si>
    <t>Nombre de tâches planifiées</t>
  </si>
  <si>
    <t xml:space="preserve">    Page abonnement</t>
  </si>
  <si>
    <t>Design le logo du site web</t>
  </si>
  <si>
    <t>Récits terminés</t>
  </si>
  <si>
    <t>Conception base de données</t>
  </si>
  <si>
    <t>Tâches terminées</t>
  </si>
  <si>
    <t>Concevoir le modèle de la base de données</t>
  </si>
  <si>
    <t>Remplir la base de données</t>
  </si>
  <si>
    <t>Indice de contribution</t>
  </si>
  <si>
    <t>Lier la base de données au site</t>
  </si>
  <si>
    <t xml:space="preserve">Creation du serveur du site web </t>
  </si>
  <si>
    <t>Suivi de projet</t>
  </si>
  <si>
    <t>Période de cours</t>
  </si>
  <si>
    <t>Faits saillants du daily Scrum</t>
  </si>
  <si>
    <t>1 (29 Aout)</t>
  </si>
  <si>
    <t>2 (3 Sept)</t>
  </si>
  <si>
    <t>3 (5 sept)</t>
  </si>
  <si>
    <t>4 (10 sept, remise sprint 1)</t>
  </si>
  <si>
    <r>
      <rPr>
        <b/>
        <sz val="10"/>
        <color rgb="FF3F3F76"/>
        <rFont val="Aptos Narrow"/>
        <family val="2"/>
        <scheme val="minor"/>
      </rPr>
      <t>Progrès accomplis:</t>
    </r>
    <r>
      <rPr>
        <sz val="10"/>
        <color rgb="FF3F3F76"/>
        <rFont val="Aptos Narrow"/>
        <family val="2"/>
        <scheme val="minor"/>
      </rPr>
      <t xml:space="preserve"> Terminé la conception du modèle logique de la base de données                               </t>
    </r>
    <r>
      <rPr>
        <b/>
        <sz val="10"/>
        <color rgb="FF3F3F76"/>
        <rFont val="Aptos Narrow"/>
        <family val="2"/>
        <scheme val="minor"/>
      </rPr>
      <t>Objectifs pour la journée:</t>
    </r>
    <r>
      <rPr>
        <sz val="10"/>
        <color rgb="FF3F3F76"/>
        <rFont val="Aptos Narrow"/>
        <family val="2"/>
        <scheme val="minor"/>
      </rPr>
      <t xml:space="preserve"> Régler bug bdd &amp; commencer page connexion (Figma)                                                  </t>
    </r>
    <r>
      <rPr>
        <b/>
        <sz val="10"/>
        <color rgb="FF3F3F76"/>
        <rFont val="Aptos Narrow"/>
        <family val="2"/>
        <scheme val="minor"/>
      </rPr>
      <t xml:space="preserve">Obstacles rencontrés: </t>
    </r>
    <r>
      <rPr>
        <sz val="10"/>
        <color rgb="FF3F3F76"/>
        <rFont val="Aptos Narrow"/>
        <family val="2"/>
        <scheme val="minor"/>
      </rPr>
      <t xml:space="preserve">N/A                        </t>
    </r>
    <r>
      <rPr>
        <b/>
        <sz val="10"/>
        <color rgb="FF3F3F76"/>
        <rFont val="Aptos Narrow"/>
        <family val="2"/>
        <scheme val="minor"/>
      </rPr>
      <t>Actions Suivantes:</t>
    </r>
    <r>
      <rPr>
        <sz val="10"/>
        <color rgb="FF3F3F76"/>
        <rFont val="Aptos Narrow"/>
        <family val="2"/>
        <scheme val="minor"/>
      </rPr>
      <t xml:space="preserve"> N/A</t>
    </r>
  </si>
  <si>
    <t>Absent</t>
  </si>
  <si>
    <r>
      <rPr>
        <b/>
        <sz val="9"/>
        <color rgb="FF3F3F76"/>
        <rFont val="Aptos Narrow"/>
        <family val="2"/>
        <scheme val="minor"/>
      </rPr>
      <t>Progrès accomplis:</t>
    </r>
    <r>
      <rPr>
        <sz val="9"/>
        <color rgb="FF3F3F76"/>
        <rFont val="Aptos Narrow"/>
        <family val="2"/>
        <scheme val="minor"/>
      </rPr>
      <t xml:space="preserve">   Céer la page d'accueil et tester différents logiciels pour créer des dessins de cartes                     </t>
    </r>
    <r>
      <rPr>
        <b/>
        <sz val="9"/>
        <color rgb="FF3F3F76"/>
        <rFont val="Aptos Narrow"/>
        <family val="2"/>
        <scheme val="minor"/>
      </rPr>
      <t>Objectifs pour la journée:</t>
    </r>
    <r>
      <rPr>
        <sz val="9"/>
        <color rgb="FF3F3F76"/>
        <rFont val="Aptos Narrow"/>
        <family val="2"/>
        <scheme val="minor"/>
      </rPr>
      <t xml:space="preserve"> Trouver les cartes King, Queen, Ace et Joker pour la page d'accueil et commencer sa conception                                            </t>
    </r>
    <r>
      <rPr>
        <b/>
        <sz val="9"/>
        <color rgb="FF3F3F76"/>
        <rFont val="Aptos Narrow"/>
        <family val="2"/>
        <scheme val="minor"/>
      </rPr>
      <t xml:space="preserve"> Obstacles rencontrés:</t>
    </r>
    <r>
      <rPr>
        <sz val="9"/>
        <color rgb="FF3F3F76"/>
        <rFont val="Aptos Narrow"/>
        <family val="2"/>
        <scheme val="minor"/>
      </rPr>
      <t xml:space="preserve"> N/A                      </t>
    </r>
    <r>
      <rPr>
        <b/>
        <sz val="9"/>
        <color rgb="FF3F3F76"/>
        <rFont val="Aptos Narrow"/>
        <family val="2"/>
        <scheme val="minor"/>
      </rPr>
      <t xml:space="preserve">  Actions Suivantes:</t>
    </r>
    <r>
      <rPr>
        <sz val="9"/>
        <color rgb="FF3F3F76"/>
        <rFont val="Aptos Narrow"/>
        <family val="2"/>
        <scheme val="minor"/>
      </rPr>
      <t xml:space="preserve"> N/A</t>
    </r>
  </si>
  <si>
    <r>
      <rPr>
        <b/>
        <sz val="10"/>
        <color rgb="FF3F3F76"/>
        <rFont val="Aptos Narrow"/>
        <family val="2"/>
        <scheme val="minor"/>
      </rPr>
      <t>Progrès accomplis:</t>
    </r>
    <r>
      <rPr>
        <sz val="10"/>
        <color rgb="FF3F3F76"/>
        <rFont val="Aptos Narrow"/>
        <family val="2"/>
        <scheme val="minor"/>
      </rPr>
      <t xml:space="preserve"> Terminé la conception des pages et le document personnel                            </t>
    </r>
    <r>
      <rPr>
        <b/>
        <sz val="10"/>
        <color rgb="FF3F3F76"/>
        <rFont val="Aptos Narrow"/>
        <family val="2"/>
        <scheme val="minor"/>
      </rPr>
      <t xml:space="preserve">          Objectifs pour la journée:</t>
    </r>
    <r>
      <rPr>
        <sz val="10"/>
        <color rgb="FF3F3F76"/>
        <rFont val="Aptos Narrow"/>
        <family val="2"/>
        <scheme val="minor"/>
      </rPr>
      <t xml:space="preserve">  Finir conception des pages de connexion et d'inscription ainsi que le document personnel                                               </t>
    </r>
    <r>
      <rPr>
        <b/>
        <sz val="10"/>
        <color rgb="FF3F3F76"/>
        <rFont val="Aptos Narrow"/>
        <family val="2"/>
        <scheme val="minor"/>
      </rPr>
      <t>Obstacles rencontrés: N/A</t>
    </r>
    <r>
      <rPr>
        <sz val="10"/>
        <color rgb="FF3F3F76"/>
        <rFont val="Aptos Narrow"/>
        <family val="2"/>
        <scheme val="minor"/>
      </rPr>
      <t xml:space="preserve">                       </t>
    </r>
    <r>
      <rPr>
        <b/>
        <sz val="10"/>
        <color rgb="FF3F3F76"/>
        <rFont val="Aptos Narrow"/>
        <family val="2"/>
        <scheme val="minor"/>
      </rPr>
      <t xml:space="preserve"> Actions Suivantes: N/A</t>
    </r>
  </si>
  <si>
    <r>
      <rPr>
        <b/>
        <sz val="11"/>
        <color rgb="FF3F3F76"/>
        <rFont val="Aptos Narrow"/>
        <family val="2"/>
        <scheme val="minor"/>
      </rPr>
      <t xml:space="preserve">Progrès accomplis: </t>
    </r>
    <r>
      <rPr>
        <sz val="11"/>
        <color rgb="FF3F3F76"/>
        <rFont val="Aptos Narrow"/>
        <family val="2"/>
        <scheme val="minor"/>
      </rPr>
      <t xml:space="preserve">Terminé la conception du modèle logique de la base de données  </t>
    </r>
    <r>
      <rPr>
        <b/>
        <sz val="11"/>
        <color rgb="FF3F3F76"/>
        <rFont val="Aptos Narrow"/>
        <family val="2"/>
        <scheme val="minor"/>
      </rPr>
      <t xml:space="preserve">                 Objectifs pour la journée :</t>
    </r>
    <r>
      <rPr>
        <sz val="11"/>
        <color rgb="FF3F3F76"/>
        <rFont val="Aptos Narrow"/>
        <family val="2"/>
        <scheme val="minor"/>
      </rPr>
      <t xml:space="preserve">Finir la conception de la bdd.        </t>
    </r>
    <r>
      <rPr>
        <b/>
        <sz val="11"/>
        <color rgb="FF3F3F76"/>
        <rFont val="Aptos Narrow"/>
        <family val="2"/>
        <scheme val="minor"/>
      </rPr>
      <t xml:space="preserve">    Obstacles rencontrés:</t>
    </r>
    <r>
      <rPr>
        <sz val="11"/>
        <color rgb="FF3F3F76"/>
        <rFont val="Aptos Narrow"/>
        <family val="2"/>
        <scheme val="minor"/>
      </rPr>
      <t>N/A</t>
    </r>
    <r>
      <rPr>
        <b/>
        <sz val="11"/>
        <color rgb="FF3F3F76"/>
        <rFont val="Aptos Narrow"/>
        <family val="2"/>
        <scheme val="minor"/>
      </rPr>
      <t xml:space="preserve">      Actions Suivantes: aide de l'enseignant: </t>
    </r>
    <r>
      <rPr>
        <sz val="11"/>
        <color rgb="FF3F3F76"/>
        <rFont val="Aptos Narrow"/>
        <family val="2"/>
        <scheme val="minor"/>
      </rPr>
      <t>N/A</t>
    </r>
  </si>
  <si>
    <r>
      <rPr>
        <b/>
        <sz val="11"/>
        <color rgb="FF3F3F76"/>
        <rFont val="Aptos Narrow"/>
        <family val="2"/>
        <scheme val="minor"/>
      </rPr>
      <t>Progrès accomplis:</t>
    </r>
    <r>
      <rPr>
        <sz val="11"/>
        <color rgb="FF3F3F76"/>
        <rFont val="Aptos Narrow"/>
        <family val="2"/>
        <scheme val="minor"/>
      </rPr>
      <t xml:space="preserve"> Terminé la conception du logo                     </t>
    </r>
    <r>
      <rPr>
        <b/>
        <sz val="11"/>
        <color rgb="FF3F3F76"/>
        <rFont val="Aptos Narrow"/>
        <family val="2"/>
        <scheme val="minor"/>
      </rPr>
      <t>Objectifs pour la journée :</t>
    </r>
    <r>
      <rPr>
        <sz val="11"/>
        <color rgb="FF3F3F76"/>
        <rFont val="Aptos Narrow"/>
        <family val="2"/>
        <scheme val="minor"/>
      </rPr>
      <t xml:space="preserve">Finir la conception du logo plus figma ( page dacceuil.                                       </t>
    </r>
    <r>
      <rPr>
        <b/>
        <sz val="11"/>
        <color rgb="FF3F3F76"/>
        <rFont val="Aptos Narrow"/>
        <family val="2"/>
        <scheme val="minor"/>
      </rPr>
      <t>Obstacles rencontrés:</t>
    </r>
    <r>
      <rPr>
        <sz val="11"/>
        <color rgb="FF3F3F76"/>
        <rFont val="Aptos Narrow"/>
        <family val="2"/>
        <scheme val="minor"/>
      </rPr>
      <t xml:space="preserve">N/A          </t>
    </r>
    <r>
      <rPr>
        <b/>
        <sz val="11"/>
        <color rgb="FF3F3F76"/>
        <rFont val="Aptos Narrow"/>
        <family val="2"/>
        <scheme val="minor"/>
      </rPr>
      <t>Actions Suivantes:</t>
    </r>
    <r>
      <rPr>
        <sz val="11"/>
        <color rgb="FF3F3F76"/>
        <rFont val="Aptos Narrow"/>
        <family val="2"/>
        <scheme val="minor"/>
      </rPr>
      <t xml:space="preserve"> aide de l'enseignant: N/A</t>
    </r>
  </si>
  <si>
    <t>Absente</t>
  </si>
  <si>
    <r>
      <rPr>
        <b/>
        <sz val="11"/>
        <color rgb="FF3F3F76"/>
        <rFont val="Aptos Narrow"/>
        <family val="2"/>
        <scheme val="minor"/>
      </rPr>
      <t>Progrès accomplis</t>
    </r>
    <r>
      <rPr>
        <sz val="11"/>
        <color rgb="FF3F3F76"/>
        <rFont val="Aptos Narrow"/>
        <family val="2"/>
        <scheme val="minor"/>
      </rPr>
      <t xml:space="preserve">: Creation du server et la connection.                        </t>
    </r>
    <r>
      <rPr>
        <b/>
        <sz val="11"/>
        <color rgb="FF3F3F76"/>
        <rFont val="Aptos Narrow"/>
        <family val="2"/>
        <scheme val="minor"/>
      </rPr>
      <t xml:space="preserve">Objectifs pour la journée : </t>
    </r>
    <r>
      <rPr>
        <sz val="11"/>
        <color rgb="FF3F3F76"/>
        <rFont val="Aptos Narrow"/>
        <family val="2"/>
        <scheme val="minor"/>
      </rPr>
      <t xml:space="preserve">Commencer figma ( header ).                                 </t>
    </r>
    <r>
      <rPr>
        <b/>
        <sz val="11"/>
        <color rgb="FF3F3F76"/>
        <rFont val="Aptos Narrow"/>
        <family val="2"/>
        <scheme val="minor"/>
      </rPr>
      <t>Obstacles rencontrés:</t>
    </r>
    <r>
      <rPr>
        <sz val="11"/>
        <color rgb="FF3F3F76"/>
        <rFont val="Aptos Narrow"/>
        <family val="2"/>
        <scheme val="minor"/>
      </rPr>
      <t xml:space="preserve">N/A          </t>
    </r>
    <r>
      <rPr>
        <b/>
        <sz val="11"/>
        <color rgb="FF3F3F76"/>
        <rFont val="Aptos Narrow"/>
        <family val="2"/>
        <scheme val="minor"/>
      </rPr>
      <t>Actions Suivantes:</t>
    </r>
    <r>
      <rPr>
        <sz val="11"/>
        <color rgb="FF3F3F76"/>
        <rFont val="Aptos Narrow"/>
        <family val="2"/>
        <scheme val="minor"/>
      </rPr>
      <t xml:space="preserve"> aide de l'enseignant: N/A</t>
    </r>
  </si>
  <si>
    <r>
      <rPr>
        <b/>
        <sz val="9"/>
        <color rgb="FF3F3F76"/>
        <rFont val="Aptos Narrow"/>
        <family val="2"/>
      </rPr>
      <t xml:space="preserve">Progrès accomplis:  </t>
    </r>
    <r>
      <rPr>
        <sz val="9"/>
        <color rgb="FF3F3F76"/>
        <rFont val="Aptos Narrow"/>
        <family val="2"/>
      </rPr>
      <t>Conecpt header</t>
    </r>
    <r>
      <rPr>
        <b/>
        <sz val="9"/>
        <color rgb="FF3F3F76"/>
        <rFont val="Aptos Narrow"/>
        <family val="2"/>
      </rPr>
      <t xml:space="preserve">         </t>
    </r>
    <r>
      <rPr>
        <sz val="9"/>
        <color rgb="FF3F3F76"/>
        <rFont val="Aptos Narrow"/>
        <family val="2"/>
      </rPr>
      <t xml:space="preserve">                                </t>
    </r>
    <r>
      <rPr>
        <b/>
        <sz val="9"/>
        <color rgb="FF3F3F76"/>
        <rFont val="Aptos Narrow"/>
        <family val="2"/>
      </rPr>
      <t xml:space="preserve">Objectifs pour la journée : </t>
    </r>
    <r>
      <rPr>
        <sz val="9"/>
        <color rgb="FF3F3F76"/>
        <rFont val="Aptos Narrow"/>
        <family val="2"/>
      </rPr>
      <t xml:space="preserve">Faire connecter la base de donné avec le site web                                           </t>
    </r>
    <r>
      <rPr>
        <b/>
        <sz val="9"/>
        <color rgb="FF3F3F76"/>
        <rFont val="Aptos Narrow"/>
        <family val="2"/>
      </rPr>
      <t xml:space="preserve">Obstacles rencontrés: </t>
    </r>
    <r>
      <rPr>
        <sz val="9"/>
        <color rgb="FF3F3F76"/>
        <rFont val="Aptos Narrow"/>
        <family val="2"/>
      </rPr>
      <t xml:space="preserve">L'authorisation du base de donnés null. Meme avec le Grant all                                                </t>
    </r>
    <r>
      <rPr>
        <b/>
        <sz val="9"/>
        <color rgb="FF3F3F76"/>
        <rFont val="Aptos Narrow"/>
        <family val="2"/>
      </rPr>
      <t xml:space="preserve">Actions Suivantes: </t>
    </r>
    <r>
      <rPr>
        <sz val="9"/>
        <color rgb="FF3F3F76"/>
        <rFont val="Aptos Narrow"/>
        <family val="2"/>
      </rPr>
      <t>aide de l'enseignant: N/A</t>
    </r>
  </si>
  <si>
    <t xml:space="preserve">Progrès accomplis: Terminé la conception des pages et connecter le base de donné avec le site web.                                 Objectifs pour la journée:  Finir conception des pages de connexion et d'inscription ainsi que le document personnel                          </t>
  </si>
  <si>
    <t>WIP</t>
  </si>
  <si>
    <t>Âge moyen des items</t>
  </si>
  <si>
    <t>Revue</t>
  </si>
  <si>
    <t>Priorités pour le prochain sprint</t>
  </si>
  <si>
    <t>Changements aux objectifs / besoins</t>
  </si>
  <si>
    <t>Rétrospective</t>
  </si>
  <si>
    <t>Points forts</t>
  </si>
  <si>
    <t>Points à améliorer</t>
  </si>
  <si>
    <t>Mesure d'amélioration pour le prochain sprint</t>
  </si>
  <si>
    <t>Bilan de la mesure d'amélioration du sprint courant</t>
  </si>
  <si>
    <t>Progrès accomplis: Terminé la conception des pages sur figma et le document personnel et le excel                                  Objectifs pour la journée:  Finir conception des pages de acceuil et swipe ainsi que le document personnel                                               Obstacles rencontrés: N/A                        Actions Suivantes: N/A</t>
  </si>
  <si>
    <t>Conception prototypes des 4 pages (Accueil, Inscription, Connexion, Abonnement) en html/css/js et Création compte qui s'insère dans la bdd</t>
  </si>
  <si>
    <t>Productivité, creativité, division des tâches, travail d'équipe</t>
  </si>
  <si>
    <t>gestion du temps, communication</t>
  </si>
  <si>
    <t>utiliser des outils de communication hors de l'école comme des résaux sociaux et des outils de gestion de temps comme Trello</t>
  </si>
  <si>
    <t>N/A</t>
  </si>
  <si>
    <t>Ajout de besoins et fonctionnalités : Utiliser un algorithme de machine learning pour faire les match des lieux des personnes, Ajouter un système de vérification de profil en utilisant une pièce d'identité</t>
  </si>
  <si>
    <t>Objectif de sprint:  prototypes des 4 pages en html/css/js et Création compte avec BDD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</si>
</sst>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b/>
      <sz val="11"/>
      <color rgb="FFFA7D00"/>
      <name val="Aptos Narrow"/>
      <family val="2"/>
      <scheme val="minor"/>
    </font>
    <font>
      <b/>
      <sz val="11"/>
      <color theme="1"/>
      <name val="Aptos Narrow"/>
      <family val="2"/>
      <scheme val="minor"/>
    </font>
    <font>
      <sz val="9"/>
      <color indexed="81"/>
      <name val="Tahoma"/>
      <family val="2"/>
    </font>
    <font>
      <sz val="10"/>
      <color rgb="FF3F3F76"/>
      <name val="Aptos Narrow"/>
      <family val="2"/>
      <scheme val="minor"/>
    </font>
    <font>
      <sz val="11"/>
      <color rgb="FF3F3F76"/>
      <name val="Aptos Narrow"/>
      <family val="2"/>
    </font>
    <font>
      <b/>
      <sz val="10"/>
      <color rgb="FF3F3F76"/>
      <name val="Aptos Narrow"/>
      <family val="2"/>
      <scheme val="minor"/>
    </font>
    <font>
      <b/>
      <sz val="11"/>
      <color rgb="FF3F3F76"/>
      <name val="Aptos Narrow"/>
      <family val="2"/>
      <scheme val="minor"/>
    </font>
    <font>
      <b/>
      <sz val="9"/>
      <color rgb="FF3F3F76"/>
      <name val="Aptos Narrow"/>
      <family val="2"/>
    </font>
    <font>
      <sz val="9"/>
      <color rgb="FF3F3F76"/>
      <name val="Aptos Narrow"/>
      <family val="2"/>
    </font>
    <font>
      <sz val="9"/>
      <color rgb="FF3F3F76"/>
      <name val="Aptos Narrow"/>
      <family val="2"/>
      <scheme val="minor"/>
    </font>
    <font>
      <b/>
      <sz val="9"/>
      <color rgb="FF3F3F76"/>
      <name val="Aptos Narrow"/>
      <family val="2"/>
      <scheme val="minor"/>
    </font>
  </fonts>
  <fills count="4">
    <fill>
      <patternFill patternType="none"/>
    </fill>
    <fill>
      <patternFill patternType="gray125"/>
    </fill>
    <fill>
      <patternFill patternType="solid">
        <fgColor rgb="FFFFCC99"/>
      </patternFill>
    </fill>
    <fill>
      <patternFill patternType="solid">
        <fgColor rgb="FFF2F2F2"/>
      </patternFill>
    </fill>
  </fills>
  <borders count="5">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3" fillId="2" borderId="3" applyNumberFormat="0" applyAlignment="0" applyProtection="0"/>
    <xf numFmtId="0" fontId="4" fillId="3" borderId="3" applyNumberFormat="0" applyAlignment="0" applyProtection="0"/>
  </cellStyleXfs>
  <cellXfs count="24">
    <xf numFmtId="0" fontId="0" fillId="0" borderId="0" xfId="0"/>
    <xf numFmtId="0" fontId="3" fillId="2" borderId="3" xfId="3"/>
    <xf numFmtId="0" fontId="0" fillId="0" borderId="0" xfId="0" applyAlignment="1">
      <alignment horizontal="center"/>
    </xf>
    <xf numFmtId="0" fontId="3" fillId="2" borderId="3" xfId="3" applyAlignment="1">
      <alignment horizontal="center"/>
    </xf>
    <xf numFmtId="9" fontId="3" fillId="2" borderId="3" xfId="3" applyNumberFormat="1" applyAlignment="1">
      <alignment horizontal="center"/>
    </xf>
    <xf numFmtId="0" fontId="4" fillId="3" borderId="3" xfId="4"/>
    <xf numFmtId="9" fontId="4" fillId="3" borderId="3" xfId="4" applyNumberFormat="1"/>
    <xf numFmtId="0" fontId="3" fillId="2" borderId="4" xfId="3" applyBorder="1"/>
    <xf numFmtId="0" fontId="1" fillId="0" borderId="1" xfId="1"/>
    <xf numFmtId="0" fontId="2" fillId="0" borderId="2" xfId="2"/>
    <xf numFmtId="0" fontId="0" fillId="0" borderId="0" xfId="0" applyAlignment="1">
      <alignment vertical="top"/>
    </xf>
    <xf numFmtId="0" fontId="7" fillId="2" borderId="3" xfId="3" applyFont="1" applyAlignment="1">
      <alignment vertical="top" wrapText="1"/>
    </xf>
    <xf numFmtId="0" fontId="10" fillId="2" borderId="3" xfId="3" applyFont="1" applyAlignment="1">
      <alignment vertical="top" wrapText="1"/>
    </xf>
    <xf numFmtId="0" fontId="8" fillId="2" borderId="3" xfId="3" applyFont="1" applyAlignment="1">
      <alignment horizontal="center" vertical="center" wrapText="1"/>
    </xf>
    <xf numFmtId="0" fontId="3" fillId="2" borderId="3" xfId="3" applyAlignment="1">
      <alignment horizontal="center" vertical="center" wrapText="1"/>
    </xf>
    <xf numFmtId="0" fontId="12" fillId="2" borderId="3" xfId="3" applyFont="1" applyAlignment="1">
      <alignment vertical="top" wrapText="1"/>
    </xf>
    <xf numFmtId="0" fontId="3" fillId="2" borderId="3" xfId="3" applyAlignment="1">
      <alignment horizontal="right"/>
    </xf>
    <xf numFmtId="0" fontId="13" fillId="2" borderId="3" xfId="3" applyFont="1" applyAlignment="1">
      <alignment vertical="top" wrapText="1"/>
    </xf>
    <xf numFmtId="0" fontId="7" fillId="2" borderId="3" xfId="3" applyFont="1" applyAlignment="1">
      <alignment wrapText="1"/>
    </xf>
    <xf numFmtId="0" fontId="3" fillId="2" borderId="3" xfId="3" applyAlignment="1">
      <alignment vertical="top" wrapText="1"/>
    </xf>
    <xf numFmtId="0" fontId="3" fillId="2" borderId="3" xfId="3" applyAlignment="1">
      <alignment vertical="top"/>
    </xf>
    <xf numFmtId="0" fontId="5" fillId="0" borderId="0" xfId="0" applyFont="1"/>
    <xf numFmtId="0" fontId="5" fillId="0" borderId="0" xfId="0" applyFont="1" applyAlignment="1">
      <alignment horizontal="center"/>
    </xf>
    <xf numFmtId="0" fontId="3" fillId="2" borderId="3" xfId="3" applyAlignment="1">
      <alignment horizontal="left" vertical="top"/>
    </xf>
  </cellXfs>
  <cellStyles count="5">
    <cellStyle name="Calcul" xfId="4" builtinId="22"/>
    <cellStyle name="Entrée" xfId="3" builtinId="20"/>
    <cellStyle name="Normal" xfId="0" builtinId="0"/>
    <cellStyle name="Titre 2" xfId="1" builtinId="17"/>
    <cellStyle name="Titre 3" xfId="2" builtinId="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7C8C-BB64-4187-92AA-6B5ED698724D}">
  <dimension ref="A1:O39"/>
  <sheetViews>
    <sheetView tabSelected="1" zoomScale="130" zoomScaleNormal="130" workbookViewId="0">
      <selection activeCell="B23" sqref="B23"/>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15.7109375" style="2" customWidth="1"/>
    <col min="8" max="8" width="14.42578125" bestFit="1" customWidth="1"/>
    <col min="9" max="9" width="14.42578125" customWidth="1"/>
    <col min="11" max="11" width="47.5703125" bestFit="1" customWidth="1"/>
    <col min="12" max="12" width="35.5703125" customWidth="1"/>
    <col min="13" max="13" width="31.7109375" customWidth="1"/>
    <col min="14" max="14" width="26.7109375" customWidth="1"/>
    <col min="15" max="15" width="29.28515625" customWidth="1"/>
  </cols>
  <sheetData>
    <row r="1" spans="1:13" ht="17.25" x14ac:dyDescent="0.3">
      <c r="A1" t="s">
        <v>71</v>
      </c>
      <c r="B1" s="21" t="s">
        <v>0</v>
      </c>
      <c r="C1" s="21"/>
      <c r="D1" s="21"/>
      <c r="E1" s="21"/>
      <c r="F1" s="21"/>
      <c r="G1" s="21"/>
      <c r="H1" s="21"/>
      <c r="I1" s="21"/>
      <c r="K1" s="8" t="s">
        <v>1</v>
      </c>
    </row>
    <row r="2" spans="1:13" x14ac:dyDescent="0.25">
      <c r="K2" t="s">
        <v>2</v>
      </c>
      <c r="L2" s="5">
        <f>AVERAGEIFS(G:G,F:F, "X", B:B, "Récit")</f>
        <v>7</v>
      </c>
    </row>
    <row r="3" spans="1:13" x14ac:dyDescent="0.25">
      <c r="A3" s="2" t="s">
        <v>3</v>
      </c>
      <c r="B3" s="2" t="s">
        <v>4</v>
      </c>
      <c r="C3" s="2" t="s">
        <v>5</v>
      </c>
      <c r="D3" s="2" t="s">
        <v>6</v>
      </c>
      <c r="E3" s="2" t="s">
        <v>7</v>
      </c>
      <c r="F3" s="2" t="s">
        <v>8</v>
      </c>
      <c r="G3" s="2" t="s">
        <v>9</v>
      </c>
      <c r="H3" s="2" t="s">
        <v>10</v>
      </c>
      <c r="K3" t="s">
        <v>11</v>
      </c>
      <c r="L3" s="5">
        <f>AVERAGEIFS(G:G,F:F, "X", B:B, "Tâche")</f>
        <v>1.5</v>
      </c>
    </row>
    <row r="4" spans="1:13" x14ac:dyDescent="0.25">
      <c r="A4" t="s">
        <v>12</v>
      </c>
      <c r="B4" s="3" t="s">
        <v>13</v>
      </c>
      <c r="C4" s="4"/>
      <c r="D4" s="4"/>
      <c r="E4" s="4"/>
      <c r="F4" s="3" t="s">
        <v>14</v>
      </c>
      <c r="G4" s="16">
        <f>SUM(G6:G11)</f>
        <v>8</v>
      </c>
      <c r="H4" s="16">
        <f>SUM(H6:H11)</f>
        <v>11</v>
      </c>
      <c r="K4" t="s">
        <v>15</v>
      </c>
      <c r="L4" s="5">
        <f>COUNTIFS(F:F, "X", B:B, "Récit")</f>
        <v>2</v>
      </c>
    </row>
    <row r="5" spans="1:13" x14ac:dyDescent="0.25">
      <c r="A5" t="s">
        <v>16</v>
      </c>
      <c r="B5" s="3" t="s">
        <v>17</v>
      </c>
      <c r="C5" s="4"/>
      <c r="D5" s="4"/>
      <c r="E5" s="4"/>
      <c r="F5" s="3" t="s">
        <v>14</v>
      </c>
      <c r="G5" s="1">
        <f>SUM(G6:G10)</f>
        <v>7</v>
      </c>
      <c r="H5" s="1">
        <f>SUM(H6:H10)</f>
        <v>10</v>
      </c>
      <c r="K5" t="s">
        <v>18</v>
      </c>
      <c r="L5" s="5">
        <f>COUNTIFS(F:F, "X", B:B, "Tâche")</f>
        <v>10</v>
      </c>
    </row>
    <row r="6" spans="1:13" x14ac:dyDescent="0.25">
      <c r="A6" t="s">
        <v>19</v>
      </c>
      <c r="B6" s="3" t="s">
        <v>20</v>
      </c>
      <c r="C6" s="4">
        <v>0.5</v>
      </c>
      <c r="D6" s="4">
        <v>0.25</v>
      </c>
      <c r="E6" s="4">
        <v>0.25</v>
      </c>
      <c r="F6" s="3" t="s">
        <v>14</v>
      </c>
      <c r="G6" s="1">
        <v>1</v>
      </c>
      <c r="H6" s="1">
        <v>1</v>
      </c>
    </row>
    <row r="7" spans="1:13" x14ac:dyDescent="0.25">
      <c r="A7" t="s">
        <v>21</v>
      </c>
      <c r="B7" s="3" t="s">
        <v>20</v>
      </c>
      <c r="C7" s="4">
        <v>1</v>
      </c>
      <c r="D7" s="4"/>
      <c r="E7" s="4"/>
      <c r="F7" s="3" t="s">
        <v>14</v>
      </c>
      <c r="G7" s="1">
        <v>2</v>
      </c>
      <c r="H7" s="1">
        <v>3</v>
      </c>
      <c r="K7" s="9" t="s">
        <v>22</v>
      </c>
    </row>
    <row r="8" spans="1:13" x14ac:dyDescent="0.25">
      <c r="A8" t="s">
        <v>23</v>
      </c>
      <c r="B8" s="3" t="s">
        <v>20</v>
      </c>
      <c r="C8" s="4">
        <v>1</v>
      </c>
      <c r="D8" s="4"/>
      <c r="E8" s="4"/>
      <c r="F8" s="3" t="s">
        <v>14</v>
      </c>
      <c r="G8" s="1">
        <v>2</v>
      </c>
      <c r="H8" s="1">
        <v>2</v>
      </c>
      <c r="K8" t="s">
        <v>24</v>
      </c>
      <c r="L8" s="5">
        <f>COUNTIF(B:B,"Récit")</f>
        <v>2</v>
      </c>
    </row>
    <row r="9" spans="1:13" x14ac:dyDescent="0.25">
      <c r="A9" t="s">
        <v>25</v>
      </c>
      <c r="B9" s="3" t="s">
        <v>20</v>
      </c>
      <c r="C9" s="4"/>
      <c r="D9" s="4">
        <v>1</v>
      </c>
      <c r="E9" s="4">
        <v>0</v>
      </c>
      <c r="F9" s="3" t="s">
        <v>14</v>
      </c>
      <c r="G9" s="1">
        <v>1</v>
      </c>
      <c r="H9" s="1">
        <v>2</v>
      </c>
      <c r="K9" t="s">
        <v>26</v>
      </c>
      <c r="L9" s="5">
        <f>COUNTIF(B:B, "Tâche")</f>
        <v>10</v>
      </c>
    </row>
    <row r="10" spans="1:13" x14ac:dyDescent="0.25">
      <c r="A10" t="s">
        <v>27</v>
      </c>
      <c r="B10" s="3" t="s">
        <v>20</v>
      </c>
      <c r="C10" s="4"/>
      <c r="D10" s="4"/>
      <c r="E10" s="4">
        <v>1</v>
      </c>
      <c r="F10" s="3" t="s">
        <v>14</v>
      </c>
      <c r="G10" s="1">
        <v>1</v>
      </c>
      <c r="H10" s="1">
        <v>2</v>
      </c>
    </row>
    <row r="11" spans="1:13" x14ac:dyDescent="0.25">
      <c r="A11" t="s">
        <v>28</v>
      </c>
      <c r="B11" s="3" t="s">
        <v>20</v>
      </c>
      <c r="C11" s="4">
        <v>0.25</v>
      </c>
      <c r="D11" s="4">
        <v>0.75</v>
      </c>
      <c r="E11" s="4"/>
      <c r="F11" s="3" t="s">
        <v>14</v>
      </c>
      <c r="G11" s="1">
        <v>1</v>
      </c>
      <c r="H11" s="1">
        <v>1</v>
      </c>
      <c r="K11" t="s">
        <v>29</v>
      </c>
      <c r="L11" s="6">
        <f>L4/L8</f>
        <v>1</v>
      </c>
    </row>
    <row r="12" spans="1:13" x14ac:dyDescent="0.25">
      <c r="A12" t="s">
        <v>30</v>
      </c>
      <c r="B12" s="3" t="s">
        <v>17</v>
      </c>
      <c r="C12" s="4">
        <v>0.5</v>
      </c>
      <c r="D12" s="4">
        <v>0.5</v>
      </c>
      <c r="E12" s="4"/>
      <c r="F12" s="3" t="s">
        <v>14</v>
      </c>
      <c r="G12" s="1">
        <f>SUM(G13:G16)</f>
        <v>7</v>
      </c>
      <c r="H12" s="1">
        <f>SUM(H13:H16)</f>
        <v>5</v>
      </c>
      <c r="K12" t="s">
        <v>31</v>
      </c>
      <c r="L12" s="6">
        <f>L5/L9</f>
        <v>1</v>
      </c>
    </row>
    <row r="13" spans="1:13" x14ac:dyDescent="0.25">
      <c r="A13" t="s">
        <v>32</v>
      </c>
      <c r="B13" s="3" t="s">
        <v>20</v>
      </c>
      <c r="C13" s="4">
        <v>0.5</v>
      </c>
      <c r="D13" s="4">
        <v>0.5</v>
      </c>
      <c r="E13" s="4"/>
      <c r="F13" s="3" t="s">
        <v>14</v>
      </c>
      <c r="G13" s="1">
        <v>1</v>
      </c>
      <c r="H13" s="1">
        <v>1</v>
      </c>
    </row>
    <row r="14" spans="1:13" x14ac:dyDescent="0.25">
      <c r="A14" t="s">
        <v>33</v>
      </c>
      <c r="B14" s="3" t="s">
        <v>20</v>
      </c>
      <c r="C14" s="4"/>
      <c r="D14" s="4">
        <v>0.5</v>
      </c>
      <c r="E14" s="4">
        <v>0.5</v>
      </c>
      <c r="F14" s="3" t="s">
        <v>14</v>
      </c>
      <c r="G14" s="1">
        <v>1</v>
      </c>
      <c r="H14" s="1">
        <v>1</v>
      </c>
      <c r="K14" s="9" t="s">
        <v>34</v>
      </c>
    </row>
    <row r="15" spans="1:13" x14ac:dyDescent="0.25">
      <c r="A15" t="s">
        <v>35</v>
      </c>
      <c r="B15" s="3" t="s">
        <v>20</v>
      </c>
      <c r="C15" s="4">
        <v>0</v>
      </c>
      <c r="D15" s="4">
        <v>0</v>
      </c>
      <c r="E15" s="4">
        <v>1</v>
      </c>
      <c r="F15" s="3" t="s">
        <v>14</v>
      </c>
      <c r="G15" s="1">
        <v>3</v>
      </c>
      <c r="H15" s="1">
        <v>1</v>
      </c>
      <c r="K15" t="s">
        <v>5</v>
      </c>
      <c r="L15" s="5">
        <f>SUMIFS(C:C,F:F,"X")</f>
        <v>3.75</v>
      </c>
      <c r="M15" s="6">
        <f>L15/SUM($L$15:$L$17)</f>
        <v>0.34090909090909088</v>
      </c>
    </row>
    <row r="16" spans="1:13" x14ac:dyDescent="0.25">
      <c r="A16" t="s">
        <v>36</v>
      </c>
      <c r="B16" s="3" t="s">
        <v>20</v>
      </c>
      <c r="C16" s="4">
        <v>0</v>
      </c>
      <c r="D16" s="4">
        <v>0</v>
      </c>
      <c r="E16" s="4">
        <v>1</v>
      </c>
      <c r="F16" s="3" t="s">
        <v>14</v>
      </c>
      <c r="G16" s="1">
        <v>2</v>
      </c>
      <c r="H16" s="1">
        <v>2</v>
      </c>
      <c r="K16" t="s">
        <v>6</v>
      </c>
      <c r="L16" s="5">
        <f>SUMIFS(D:D,F:F,"X")</f>
        <v>3.5</v>
      </c>
      <c r="M16" s="6">
        <f>L16/SUM($L$15:$L$18)</f>
        <v>0.31818181818181818</v>
      </c>
    </row>
    <row r="17" spans="11:15" x14ac:dyDescent="0.25">
      <c r="K17" s="10" t="s">
        <v>7</v>
      </c>
      <c r="L17" s="5">
        <f>SUMIFS(E:E,F:F,"X")</f>
        <v>3.75</v>
      </c>
      <c r="M17" s="6">
        <f>L17/SUM($L$15:$L$18)</f>
        <v>0.34090909090909088</v>
      </c>
    </row>
    <row r="20" spans="11:15" ht="17.25" x14ac:dyDescent="0.3">
      <c r="K20" s="8" t="s">
        <v>37</v>
      </c>
    </row>
    <row r="21" spans="11:15" x14ac:dyDescent="0.25">
      <c r="L21" s="22" t="s">
        <v>38</v>
      </c>
      <c r="M21" s="22"/>
      <c r="N21" s="22"/>
      <c r="O21" s="22"/>
    </row>
    <row r="22" spans="11:15" x14ac:dyDescent="0.25">
      <c r="K22" s="9" t="s">
        <v>39</v>
      </c>
      <c r="L22" t="s">
        <v>40</v>
      </c>
      <c r="M22" t="s">
        <v>41</v>
      </c>
      <c r="N22" t="s">
        <v>42</v>
      </c>
      <c r="O22" t="s">
        <v>43</v>
      </c>
    </row>
    <row r="23" spans="11:15" ht="127.15" customHeight="1" x14ac:dyDescent="0.25">
      <c r="K23" s="10" t="s">
        <v>5</v>
      </c>
      <c r="L23" s="11" t="s">
        <v>44</v>
      </c>
      <c r="M23" s="14" t="s">
        <v>45</v>
      </c>
      <c r="N23" s="17" t="s">
        <v>46</v>
      </c>
      <c r="O23" s="18" t="s">
        <v>47</v>
      </c>
    </row>
    <row r="24" spans="11:15" ht="123.6" customHeight="1" x14ac:dyDescent="0.25">
      <c r="K24" s="10" t="s">
        <v>6</v>
      </c>
      <c r="L24" s="12" t="s">
        <v>48</v>
      </c>
      <c r="M24" s="19" t="s">
        <v>49</v>
      </c>
      <c r="N24" s="17" t="s">
        <v>46</v>
      </c>
      <c r="O24" s="18" t="s">
        <v>64</v>
      </c>
    </row>
    <row r="25" spans="11:15" ht="117.75" customHeight="1" x14ac:dyDescent="0.25">
      <c r="K25" s="10" t="s">
        <v>7</v>
      </c>
      <c r="L25" s="13" t="s">
        <v>50</v>
      </c>
      <c r="M25" s="19" t="s">
        <v>51</v>
      </c>
      <c r="N25" s="15" t="s">
        <v>52</v>
      </c>
      <c r="O25" s="19" t="s">
        <v>53</v>
      </c>
    </row>
    <row r="26" spans="11:15" ht="21.75" customHeight="1" x14ac:dyDescent="0.25">
      <c r="K26" t="s">
        <v>54</v>
      </c>
      <c r="L26" s="7" t="s">
        <v>69</v>
      </c>
      <c r="M26" s="7" t="s">
        <v>69</v>
      </c>
      <c r="N26" s="7" t="s">
        <v>69</v>
      </c>
      <c r="O26" s="7" t="s">
        <v>69</v>
      </c>
    </row>
    <row r="27" spans="11:15" x14ac:dyDescent="0.25">
      <c r="K27" t="s">
        <v>55</v>
      </c>
      <c r="L27" s="7" t="s">
        <v>69</v>
      </c>
      <c r="M27" s="7" t="s">
        <v>69</v>
      </c>
      <c r="N27" s="7" t="s">
        <v>69</v>
      </c>
      <c r="O27" s="7" t="s">
        <v>69</v>
      </c>
    </row>
    <row r="30" spans="11:15" x14ac:dyDescent="0.25">
      <c r="K30" s="9" t="s">
        <v>56</v>
      </c>
    </row>
    <row r="31" spans="11:15" ht="44.45" customHeight="1" x14ac:dyDescent="0.25">
      <c r="K31" s="10" t="s">
        <v>57</v>
      </c>
      <c r="L31" s="23" t="s">
        <v>65</v>
      </c>
      <c r="M31" s="23"/>
      <c r="N31" s="23"/>
      <c r="O31" s="23"/>
    </row>
    <row r="32" spans="11:15" ht="45" customHeight="1" x14ac:dyDescent="0.25">
      <c r="K32" s="10" t="s">
        <v>58</v>
      </c>
      <c r="L32" s="20" t="s">
        <v>70</v>
      </c>
      <c r="M32" s="20"/>
      <c r="N32" s="20"/>
      <c r="O32" s="20"/>
    </row>
    <row r="34" spans="11:15" x14ac:dyDescent="0.25">
      <c r="K34" s="9" t="s">
        <v>59</v>
      </c>
    </row>
    <row r="35" spans="11:15" ht="31.15" customHeight="1" x14ac:dyDescent="0.25">
      <c r="K35" s="10" t="s">
        <v>60</v>
      </c>
      <c r="L35" s="20" t="s">
        <v>66</v>
      </c>
      <c r="M35" s="20"/>
      <c r="N35" s="20"/>
      <c r="O35" s="20"/>
    </row>
    <row r="36" spans="11:15" ht="30.6" customHeight="1" x14ac:dyDescent="0.25">
      <c r="K36" s="10" t="s">
        <v>61</v>
      </c>
      <c r="L36" s="20" t="s">
        <v>67</v>
      </c>
      <c r="M36" s="20"/>
      <c r="N36" s="20"/>
      <c r="O36" s="20"/>
    </row>
    <row r="37" spans="11:15" ht="31.15" customHeight="1" x14ac:dyDescent="0.25">
      <c r="K37" s="10" t="s">
        <v>62</v>
      </c>
      <c r="L37" s="20" t="s">
        <v>68</v>
      </c>
      <c r="M37" s="20"/>
      <c r="N37" s="20"/>
      <c r="O37" s="20"/>
    </row>
    <row r="38" spans="11:15" x14ac:dyDescent="0.25">
      <c r="K38" s="10"/>
      <c r="L38" s="10"/>
      <c r="M38" s="10"/>
      <c r="N38" s="10"/>
      <c r="O38" s="10"/>
    </row>
    <row r="39" spans="11:15" ht="31.15" customHeight="1" x14ac:dyDescent="0.25">
      <c r="K39" s="10" t="s">
        <v>63</v>
      </c>
      <c r="L39" s="20" t="s">
        <v>69</v>
      </c>
      <c r="M39" s="20"/>
      <c r="N39" s="20"/>
      <c r="O39" s="20"/>
    </row>
  </sheetData>
  <mergeCells count="8">
    <mergeCell ref="L35:O35"/>
    <mergeCell ref="L36:O36"/>
    <mergeCell ref="L37:O37"/>
    <mergeCell ref="L39:O39"/>
    <mergeCell ref="B1:I1"/>
    <mergeCell ref="L21:O21"/>
    <mergeCell ref="L31:O31"/>
    <mergeCell ref="L32:O32"/>
  </mergeCells>
  <pageMargins left="0.7" right="0.7" top="0.75" bottom="0.75" header="0.3" footer="0.3"/>
  <pageSetup orientation="portrait" horizontalDpi="4294967295" verticalDpi="4294967295" r:id="rId1"/>
  <ignoredErrors>
    <ignoredError sqref="G5:H5" formulaRange="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Exemple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Stéphane Lévesque</dc:creator>
  <cp:keywords/>
  <dc:description/>
  <cp:lastModifiedBy>Jucan, Denis Florin</cp:lastModifiedBy>
  <cp:revision/>
  <dcterms:created xsi:type="dcterms:W3CDTF">2024-08-18T18:39:34Z</dcterms:created>
  <dcterms:modified xsi:type="dcterms:W3CDTF">2024-09-12T20:33:48Z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615819-ba40-4aaf-a034-39fd1d37cddf_Enabled">
    <vt:lpwstr>true</vt:lpwstr>
  </property>
  <property fmtid="{D5CDD505-2E9C-101B-9397-08002B2CF9AE}" pid="3" name="MSIP_Label_6b615819-ba40-4aaf-a034-39fd1d37cddf_SetDate">
    <vt:lpwstr>2024-08-29T15:48:39Z</vt:lpwstr>
  </property>
  <property fmtid="{D5CDD505-2E9C-101B-9397-08002B2CF9AE}" pid="4" name="MSIP_Label_6b615819-ba40-4aaf-a034-39fd1d37cddf_Method">
    <vt:lpwstr>Standard</vt:lpwstr>
  </property>
  <property fmtid="{D5CDD505-2E9C-101B-9397-08002B2CF9AE}" pid="5" name="MSIP_Label_6b615819-ba40-4aaf-a034-39fd1d37cddf_Name">
    <vt:lpwstr>defa4170-0d19-0005-0004-bc88714345d2</vt:lpwstr>
  </property>
  <property fmtid="{D5CDD505-2E9C-101B-9397-08002B2CF9AE}" pid="6" name="MSIP_Label_6b615819-ba40-4aaf-a034-39fd1d37cddf_SiteId">
    <vt:lpwstr>f9182dd7-4234-41fb-9e9c-dd20d493b548</vt:lpwstr>
  </property>
  <property fmtid="{D5CDD505-2E9C-101B-9397-08002B2CF9AE}" pid="7" name="MSIP_Label_6b615819-ba40-4aaf-a034-39fd1d37cddf_ActionId">
    <vt:lpwstr>68bc2f7e-66e1-4e38-98cf-43cd4917e3a6</vt:lpwstr>
  </property>
  <property fmtid="{D5CDD505-2E9C-101B-9397-08002B2CF9AE}" pid="8" name="MSIP_Label_6b615819-ba40-4aaf-a034-39fd1d37cddf_ContentBits">
    <vt:lpwstr>0</vt:lpwstr>
  </property>
</Properties>
</file>